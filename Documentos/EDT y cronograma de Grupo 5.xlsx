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ronograma Gantt" sheetId="2" r:id="rId5"/>
    <sheet state="visible" name="Hitos" sheetId="3" r:id="rId6"/>
  </sheets>
  <definedNames/>
  <calcPr/>
  <extLst>
    <ext uri="GoogleSheetsCustomDataVersion2">
      <go:sheetsCustomData xmlns:go="http://customooxmlschemas.google.com/" r:id="rId7" roundtripDataChecksum="UF4Lw3NjK4USQpMyrt1eoYxLy2H9xzj+daJ2rd9m04M="/>
    </ext>
  </extLst>
</workbook>
</file>

<file path=xl/sharedStrings.xml><?xml version="1.0" encoding="utf-8"?>
<sst xmlns="http://schemas.openxmlformats.org/spreadsheetml/2006/main" count="940" uniqueCount="246">
  <si>
    <t>Numero de EDT</t>
  </si>
  <si>
    <t>Etapa</t>
  </si>
  <si>
    <t>Nombre de tarea</t>
  </si>
  <si>
    <t>Asignado a</t>
  </si>
  <si>
    <t>Fecha planificada de inicio</t>
  </si>
  <si>
    <t>Fecha planificada de termino</t>
  </si>
  <si>
    <t>Dependencia (EDT)</t>
  </si>
  <si>
    <t>Progreso %</t>
  </si>
  <si>
    <t>Progreso real</t>
  </si>
  <si>
    <t>Desviación</t>
  </si>
  <si>
    <t>Duración (horas)</t>
  </si>
  <si>
    <t>Descripción de tarea</t>
  </si>
  <si>
    <t>Costo</t>
  </si>
  <si>
    <t>Actual cost</t>
  </si>
  <si>
    <t>1</t>
  </si>
  <si>
    <t>Inicio / Planificación</t>
  </si>
  <si>
    <t/>
  </si>
  <si>
    <t>1.1</t>
  </si>
  <si>
    <t xml:space="preserve">análisis </t>
  </si>
  <si>
    <t>Estudio de Factibilidad</t>
  </si>
  <si>
    <t>Todos</t>
  </si>
  <si>
    <t>1.2</t>
  </si>
  <si>
    <t>Caso de Negocio</t>
  </si>
  <si>
    <t>1.3</t>
  </si>
  <si>
    <t>diseño</t>
  </si>
  <si>
    <t>Planificación del Proyecto</t>
  </si>
  <si>
    <t>1.4</t>
  </si>
  <si>
    <t>analisis</t>
  </si>
  <si>
    <t>Hito 1: Análisis de rentabilidad finalizado</t>
  </si>
  <si>
    <t>2</t>
  </si>
  <si>
    <t xml:space="preserve">Análisis de Requisitos	</t>
  </si>
  <si>
    <t>2.1</t>
  </si>
  <si>
    <t>Levantamiento de Requisitos</t>
  </si>
  <si>
    <t>2.2</t>
  </si>
  <si>
    <t>Planificación de Seguridad</t>
  </si>
  <si>
    <t>2.3</t>
  </si>
  <si>
    <t>Hito 2: Análisis de Requisitos Completado</t>
  </si>
  <si>
    <t>3</t>
  </si>
  <si>
    <t>Diseño</t>
  </si>
  <si>
    <t>3.1</t>
  </si>
  <si>
    <t>Diseño de Alto Nivel</t>
  </si>
  <si>
    <t>3.1.1</t>
  </si>
  <si>
    <t>Definir los lenguajes de progamacion a usar</t>
  </si>
  <si>
    <t>3.1.2</t>
  </si>
  <si>
    <t>Definir la API de Productos</t>
  </si>
  <si>
    <t>3.1.3</t>
  </si>
  <si>
    <t>Definir la arquitectura general</t>
  </si>
  <si>
    <t>3.2</t>
  </si>
  <si>
    <t>construccion</t>
  </si>
  <si>
    <t>Prueba de Concepto</t>
  </si>
  <si>
    <t>3.3</t>
  </si>
  <si>
    <t>Diseño Detallado</t>
  </si>
  <si>
    <t>3.4</t>
  </si>
  <si>
    <t>Especificación Técnica</t>
  </si>
  <si>
    <t>3.4.1</t>
  </si>
  <si>
    <t>Definir requisitos minimos de hardware</t>
  </si>
  <si>
    <t xml:space="preserve">3.4.2 </t>
  </si>
  <si>
    <t>Definir requisitos recomendables de hardware</t>
  </si>
  <si>
    <t>3.5</t>
  </si>
  <si>
    <t>Hito 3: Diseño Completado</t>
  </si>
  <si>
    <t>4</t>
  </si>
  <si>
    <t>Desarrollo</t>
  </si>
  <si>
    <t>4.1</t>
  </si>
  <si>
    <t>contruccion</t>
  </si>
  <si>
    <t>Creación de ambientes</t>
  </si>
  <si>
    <t>Carlos</t>
  </si>
  <si>
    <t>4.2</t>
  </si>
  <si>
    <t>Creación de base de datos</t>
  </si>
  <si>
    <t>Basthian Y Dietrich</t>
  </si>
  <si>
    <t>4.2.1</t>
  </si>
  <si>
    <t>Creación de BD de usuarios</t>
  </si>
  <si>
    <t>Basthian</t>
  </si>
  <si>
    <t>4.2.2</t>
  </si>
  <si>
    <t>Implementracion de API de productos</t>
  </si>
  <si>
    <t>Dietrich</t>
  </si>
  <si>
    <t>4.2.3</t>
  </si>
  <si>
    <t>Creación de BD de inventario</t>
  </si>
  <si>
    <t>4.3</t>
  </si>
  <si>
    <t>Desarrollo de pantallas</t>
  </si>
  <si>
    <t>Franco</t>
  </si>
  <si>
    <t>4.3.1</t>
  </si>
  <si>
    <t>Creación de mapas de navegación</t>
  </si>
  <si>
    <t>4.3.2</t>
  </si>
  <si>
    <t>creacion de prototipos</t>
  </si>
  <si>
    <t>4.4</t>
  </si>
  <si>
    <t>Hito 4: Base del proyecto Finalizada</t>
  </si>
  <si>
    <t>4.5</t>
  </si>
  <si>
    <t>Desarrollo Backend</t>
  </si>
  <si>
    <t>4.5.1</t>
  </si>
  <si>
    <t>Conectar las BD de usuario y BD inventario</t>
  </si>
  <si>
    <t>4.5.2</t>
  </si>
  <si>
    <t xml:space="preserve">Implementar tokens de inicio de sesión </t>
  </si>
  <si>
    <t>4.5.3</t>
  </si>
  <si>
    <t>Añadir producto a la BD de inventario</t>
  </si>
  <si>
    <t>4.5.4</t>
  </si>
  <si>
    <t xml:space="preserve">Actualizar información de producto </t>
  </si>
  <si>
    <t>4.5.5</t>
  </si>
  <si>
    <t xml:space="preserve">Registrar ajuste de inventario </t>
  </si>
  <si>
    <t>4.6</t>
  </si>
  <si>
    <t>Hito 5: Backend Terminado</t>
  </si>
  <si>
    <t>4.7</t>
  </si>
  <si>
    <t>Desarrollo frontend</t>
  </si>
  <si>
    <t>Carlos y Franco</t>
  </si>
  <si>
    <t>4.7.1</t>
  </si>
  <si>
    <t xml:space="preserve">Implementar UI de Inicio de sesión </t>
  </si>
  <si>
    <t>4.7.2</t>
  </si>
  <si>
    <t>Implementar UI de Registro producto</t>
  </si>
  <si>
    <t>4.7.3</t>
  </si>
  <si>
    <t xml:space="preserve">Implementar UI actualización de producto </t>
  </si>
  <si>
    <t>4.7.4</t>
  </si>
  <si>
    <t>Implementar UI de consultas a BD inventario</t>
  </si>
  <si>
    <t>4.7.5</t>
  </si>
  <si>
    <t>Configurar alerta de stock mínimo</t>
  </si>
  <si>
    <t>4.7.6</t>
  </si>
  <si>
    <t xml:space="preserve">Generar reporte de inventario </t>
  </si>
  <si>
    <t>4.8</t>
  </si>
  <si>
    <t>Implementar backend con frontend</t>
  </si>
  <si>
    <t>Planificación de la calidad</t>
  </si>
  <si>
    <t>4.8.1</t>
  </si>
  <si>
    <t>Analisis de calidad</t>
  </si>
  <si>
    <t>4.8.2</t>
  </si>
  <si>
    <t>Mapeo de procesos</t>
  </si>
  <si>
    <t>4.8.3</t>
  </si>
  <si>
    <t>Creacion de manuales de uso</t>
  </si>
  <si>
    <t>4.9</t>
  </si>
  <si>
    <t>Hito 6: Prototipo Funcional Finalizado</t>
  </si>
  <si>
    <t>5</t>
  </si>
  <si>
    <t>Aseguramiento de la calidad</t>
  </si>
  <si>
    <t>5.1</t>
  </si>
  <si>
    <t>prueba</t>
  </si>
  <si>
    <t>Prueba Unitaria</t>
  </si>
  <si>
    <t>Basthian, Dietrich y Franco</t>
  </si>
  <si>
    <t>5.3</t>
  </si>
  <si>
    <t>Prueba de Integración</t>
  </si>
  <si>
    <t>5.2</t>
  </si>
  <si>
    <t>Prueba Funcional</t>
  </si>
  <si>
    <t>5.4</t>
  </si>
  <si>
    <t>Prueba de Regresión</t>
  </si>
  <si>
    <t>5.5</t>
  </si>
  <si>
    <t>Prueba de Sistema</t>
  </si>
  <si>
    <t>5.6</t>
  </si>
  <si>
    <t>Prueba de Aceptación de Usuario</t>
  </si>
  <si>
    <t>5.7</t>
  </si>
  <si>
    <t>Hito 7: Pruebas Finalizadas</t>
  </si>
  <si>
    <t>6</t>
  </si>
  <si>
    <t>Implementación</t>
  </si>
  <si>
    <t>6.1</t>
  </si>
  <si>
    <t>Despliegue</t>
  </si>
  <si>
    <t>6.2</t>
  </si>
  <si>
    <t>Capacitación</t>
  </si>
  <si>
    <t>6.3</t>
  </si>
  <si>
    <t>Soporte</t>
  </si>
  <si>
    <t>6.4</t>
  </si>
  <si>
    <t>despliegue</t>
  </si>
  <si>
    <t>Hito 8:  Entrega de producto Final</t>
  </si>
  <si>
    <t>7</t>
  </si>
  <si>
    <t>Operations &amp; Maintenance</t>
  </si>
  <si>
    <t>7.1</t>
  </si>
  <si>
    <t>Marcha Blanca</t>
  </si>
  <si>
    <t>8</t>
  </si>
  <si>
    <t>Cierre</t>
  </si>
  <si>
    <t>8.1</t>
  </si>
  <si>
    <t>Cierre formal del proyecto</t>
  </si>
  <si>
    <t>8.2</t>
  </si>
  <si>
    <t>Hito 9: Fin del Proyecto</t>
  </si>
  <si>
    <t>Horas Totales</t>
  </si>
  <si>
    <t>Horas Restante</t>
  </si>
  <si>
    <t>Cronograma Gantt - EDT Grupo 5 actualizado</t>
  </si>
  <si>
    <t>ID</t>
  </si>
  <si>
    <t>Actividad</t>
  </si>
  <si>
    <t>Tipo</t>
  </si>
  <si>
    <t>Responsable</t>
  </si>
  <si>
    <t>Horas EDT</t>
  </si>
  <si>
    <t>Horas/persona</t>
  </si>
  <si>
    <t>Duración real (días)</t>
  </si>
  <si>
    <t>Inicio EDT (8h/día)</t>
  </si>
  <si>
    <t>Fin EDT (8h/día)</t>
  </si>
  <si>
    <t>Inicio Gantt</t>
  </si>
  <si>
    <t>Fin Gantt</t>
  </si>
  <si>
    <t>Predecesoras (ID)</t>
  </si>
  <si>
    <t>Observaciones</t>
  </si>
  <si>
    <t>16/03</t>
  </si>
  <si>
    <t>23/03</t>
  </si>
  <si>
    <t>30/03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</si>
  <si>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</si>
  <si>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</si>
  <si>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</si>
  <si>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</si>
  <si>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</si>
  <si>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</si>
  <si>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</si>
  <si>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</si>
  <si>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</si>
  <si>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>08/06</t>
  </si>
  <si>
    <t>15/06</t>
  </si>
  <si>
    <t>22/06</t>
  </si>
  <si>
    <t>Etapa: Inicio / Planificación</t>
  </si>
  <si>
    <t>Fechas base del EDT full-time (8h/día).</t>
  </si>
  <si>
    <t>█</t>
  </si>
  <si>
    <t>Tarea</t>
  </si>
  <si>
    <t>¿</t>
  </si>
  <si>
    <t>Hito</t>
  </si>
  <si>
    <t>1.1, 1.2, 1.3</t>
  </si>
  <si>
    <t>Hito del EDT actualizado.</t>
  </si>
  <si>
    <t>◆</t>
  </si>
  <si>
    <t>Etapa: Análisis de Requisitos</t>
  </si>
  <si>
    <t>Análisis de Requisitos</t>
  </si>
  <si>
    <t>2.1, 2.2</t>
  </si>
  <si>
    <t>Etapa: Diseño</t>
  </si>
  <si>
    <t>3.4.2</t>
  </si>
  <si>
    <t>Etapa: Desarrollo</t>
  </si>
  <si>
    <t>4.1, 4.2, 4.3</t>
  </si>
  <si>
    <t>Implementar tokens de inicio de sesión</t>
  </si>
  <si>
    <t>Actualizar información de producto</t>
  </si>
  <si>
    <t>Registrar ajuste de inventario</t>
  </si>
  <si>
    <t>Implementar UI de Inicio de sesión</t>
  </si>
  <si>
    <t>Implementar UI actualización de producto</t>
  </si>
  <si>
    <t>Generar reporte de inventario</t>
  </si>
  <si>
    <t>4.5, 4.7</t>
  </si>
  <si>
    <t>4.8, 5.6</t>
  </si>
  <si>
    <t>Etapa: Aseguramiento de la calidad</t>
  </si>
  <si>
    <t>5.1 - 5.6</t>
  </si>
  <si>
    <t>Etapa: Implementación</t>
  </si>
  <si>
    <t>Etapa extendida para cerrar el proyecto el 24/06/2026.</t>
  </si>
  <si>
    <t>6.1, 6.2, 6.3</t>
  </si>
  <si>
    <t>Etapa: Operations &amp; Maintenance</t>
  </si>
  <si>
    <t>Etapa: Cierre</t>
  </si>
  <si>
    <t>Hito 9:  Fianl de Proyecto</t>
  </si>
  <si>
    <t>Hito Final del EDT actualizado.</t>
  </si>
  <si>
    <t>Resumen del cronograma</t>
  </si>
  <si>
    <t>Fecha de inicio</t>
  </si>
  <si>
    <t>Leyenda</t>
  </si>
  <si>
    <t>Fecha de fin objetivo</t>
  </si>
  <si>
    <t>Total semanas calendario</t>
  </si>
  <si>
    <t>Etapa agrupadora</t>
  </si>
  <si>
    <t>Total horas del equipo (etapas 1 a 6)</t>
  </si>
  <si>
    <t>Horas estimadas por persona</t>
  </si>
  <si>
    <t>Cantidad de hitos</t>
  </si>
  <si>
    <t>Disponibilidad</t>
  </si>
  <si>
    <t>Nota</t>
  </si>
  <si>
    <t>Fecha EDT</t>
  </si>
  <si>
    <t>Fecha Gantt</t>
  </si>
  <si>
    <t>Predecesoras</t>
  </si>
  <si>
    <t>Hito 9: Fin de proyecto</t>
  </si>
  <si>
    <t>7.1, 8.2</t>
  </si>
  <si>
    <t>Hito final del EDT actualizado.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</si>
</sst>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/m/yyyy"/>
    <numFmt numFmtId="166" formatCode="0.0"/>
    <numFmt numFmtId="167" formatCode="dd/mm/yyyy"/>
    <numFmt numFmtId="168" formatCode="d.m"/>
  </numFmts>
  <fonts count="23">
    <font>
      <sz val="11.0"/>
      <color theme="1"/>
      <name val="Calibri"/>
      <scheme val="minor"/>
    </font>
    <font>
      <b/>
      <sz val="11.0"/>
      <color rgb="FF222222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sz val="14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color theme="1"/>
      <name val="Carlito"/>
    </font>
    <font>
      <b/>
      <color rgb="FFA9D18E"/>
      <name val="Carlito"/>
    </font>
    <font>
      <color theme="1"/>
      <name val="Carlito"/>
    </font>
    <font>
      <b/>
      <color rgb="FF5B9BD5"/>
      <name val="Carlito"/>
    </font>
    <font>
      <b/>
      <color rgb="FF7F6000"/>
      <name val="Carlito"/>
    </font>
    <font>
      <b/>
      <color rgb="FF000000"/>
      <name val="Carlito"/>
    </font>
    <font>
      <i/>
      <color rgb="FF000000"/>
      <name val="Carlito"/>
    </font>
    <font>
      <sz val="11.0"/>
      <color rgb="FF000000"/>
      <name val="Carlito"/>
    </font>
    <font>
      <sz val="11.0"/>
      <color rgb="FF7F6000"/>
      <name val="Carlito"/>
    </font>
    <font>
      <b/>
      <sz val="11.0"/>
      <color rgb="FF7F6000"/>
      <name val="Carlito"/>
    </font>
    <font>
      <b/>
      <sz val="12.0"/>
      <color rgb="FFFFFFFF"/>
      <name val="Carlito"/>
    </font>
    <font>
      <b/>
      <sz val="11.0"/>
      <color theme="1"/>
      <name val="Carlito"/>
    </font>
    <font>
      <sz val="11.0"/>
      <color rgb="FF5B9BD5"/>
      <name val="Carlito"/>
    </font>
    <font>
      <sz val="11.0"/>
      <color rgb="FFA9D18E"/>
      <name val="Carlito"/>
    </font>
  </fonts>
  <fills count="16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ED7D31"/>
        <bgColor rgb="FFED7D31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D9EAD3"/>
        <bgColor rgb="FFD9EAD3"/>
      </patternFill>
    </fill>
    <fill>
      <patternFill patternType="solid">
        <fgColor rgb="FFA9D18E"/>
        <bgColor rgb="FFA9D18E"/>
      </patternFill>
    </fill>
    <fill>
      <patternFill patternType="solid">
        <fgColor rgb="FF5B9BD5"/>
        <bgColor rgb="FF5B9BD5"/>
      </patternFill>
    </fill>
    <fill>
      <patternFill patternType="solid">
        <fgColor rgb="FFFFD966"/>
        <bgColor rgb="FFFFD966"/>
      </patternFill>
    </fill>
  </fills>
  <borders count="2">
    <border/>
    <border>
      <left/>
      <right style="thin">
        <color rgb="FFC1E3D5"/>
      </right>
      <top/>
      <bottom style="thin">
        <color rgb="FFC1E3D5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center"/>
    </xf>
    <xf borderId="1" fillId="3" fontId="1" numFmtId="0" xfId="0" applyBorder="1" applyFill="1" applyFont="1"/>
    <xf borderId="1" fillId="2" fontId="1" numFmtId="0" xfId="0" applyAlignment="1" applyBorder="1" applyFont="1">
      <alignment horizontal="left" vertical="center"/>
    </xf>
    <xf borderId="1" fillId="4" fontId="1" numFmtId="0" xfId="0" applyBorder="1" applyFill="1" applyFont="1"/>
    <xf borderId="1" fillId="4" fontId="1" numFmtId="164" xfId="0" applyAlignment="1" applyBorder="1" applyFont="1" applyNumberFormat="1">
      <alignment horizontal="left" vertical="center"/>
    </xf>
    <xf borderId="1" fillId="4" fontId="1" numFmtId="0" xfId="0" applyAlignment="1" applyBorder="1" applyFont="1">
      <alignment horizontal="left" vertical="center"/>
    </xf>
    <xf borderId="0" fillId="5" fontId="2" numFmtId="0" xfId="0" applyFill="1" applyFont="1"/>
    <xf borderId="0" fillId="6" fontId="3" numFmtId="49" xfId="0" applyFill="1" applyFont="1" applyNumberFormat="1"/>
    <xf borderId="0" fillId="6" fontId="3" numFmtId="0" xfId="0" applyAlignment="1" applyFont="1">
      <alignment vertical="bottom"/>
    </xf>
    <xf borderId="0" fillId="6" fontId="3" numFmtId="0" xfId="0" applyFont="1"/>
    <xf borderId="0" fillId="6" fontId="4" numFmtId="0" xfId="0" applyAlignment="1" applyFont="1">
      <alignment vertical="bottom"/>
    </xf>
    <xf borderId="0" fillId="6" fontId="3" numFmtId="164" xfId="0" applyAlignment="1" applyFont="1" applyNumberFormat="1">
      <alignment readingOrder="0"/>
    </xf>
    <xf borderId="0" fillId="6" fontId="3" numFmtId="14" xfId="0" applyFont="1" applyNumberFormat="1"/>
    <xf borderId="0" fillId="6" fontId="3" numFmtId="0" xfId="0" applyAlignment="1" applyFont="1">
      <alignment readingOrder="0"/>
    </xf>
    <xf borderId="0" fillId="6" fontId="3" numFmtId="9" xfId="0" applyFont="1" applyNumberFormat="1"/>
    <xf borderId="0" fillId="7" fontId="2" numFmtId="49" xfId="0" applyFill="1" applyFont="1" applyNumberFormat="1"/>
    <xf borderId="0" fillId="7" fontId="4" numFmtId="0" xfId="0" applyAlignment="1" applyFont="1">
      <alignment vertical="bottom"/>
    </xf>
    <xf borderId="0" fillId="7" fontId="2" numFmtId="0" xfId="0" applyFont="1"/>
    <xf borderId="0" fillId="7" fontId="4" numFmtId="0" xfId="0" applyAlignment="1" applyFont="1">
      <alignment readingOrder="0" vertical="bottom"/>
    </xf>
    <xf borderId="0" fillId="7" fontId="3" numFmtId="165" xfId="0" applyAlignment="1" applyFont="1" applyNumberFormat="1">
      <alignment readingOrder="0"/>
    </xf>
    <xf borderId="0" fillId="7" fontId="3" numFmtId="164" xfId="0" applyAlignment="1" applyFont="1" applyNumberFormat="1">
      <alignment readingOrder="0"/>
    </xf>
    <xf borderId="0" fillId="7" fontId="4" numFmtId="14" xfId="0" applyFont="1" applyNumberFormat="1"/>
    <xf borderId="0" fillId="7" fontId="2" numFmtId="0" xfId="0" applyAlignment="1" applyFont="1">
      <alignment readingOrder="0"/>
    </xf>
    <xf borderId="0" fillId="7" fontId="3" numFmtId="9" xfId="0" applyFont="1" applyNumberFormat="1"/>
    <xf borderId="0" fillId="8" fontId="2" numFmtId="49" xfId="0" applyAlignment="1" applyFill="1" applyFont="1" applyNumberFormat="1">
      <alignment horizontal="left" readingOrder="0"/>
    </xf>
    <xf borderId="0" fillId="8" fontId="4" numFmtId="0" xfId="0" applyAlignment="1" applyFont="1">
      <alignment readingOrder="0" vertical="bottom"/>
    </xf>
    <xf borderId="0" fillId="8" fontId="2" numFmtId="0" xfId="0" applyAlignment="1" applyFont="1">
      <alignment readingOrder="0"/>
    </xf>
    <xf borderId="0" fillId="8" fontId="3" numFmtId="164" xfId="0" applyAlignment="1" applyFont="1" applyNumberFormat="1">
      <alignment readingOrder="0"/>
    </xf>
    <xf borderId="0" fillId="8" fontId="4" numFmtId="14" xfId="0" applyFont="1" applyNumberFormat="1"/>
    <xf borderId="0" fillId="8" fontId="3" numFmtId="9" xfId="0" applyFont="1" applyNumberFormat="1"/>
    <xf borderId="0" fillId="8" fontId="2" numFmtId="0" xfId="0" applyFont="1"/>
    <xf borderId="0" fillId="8" fontId="2" numFmtId="49" xfId="0" applyFont="1" applyNumberFormat="1"/>
    <xf borderId="0" fillId="8" fontId="4" numFmtId="0" xfId="0" applyAlignment="1" applyFont="1">
      <alignment vertical="bottom"/>
    </xf>
    <xf borderId="0" fillId="6" fontId="2" numFmtId="0" xfId="0" applyAlignment="1" applyFont="1">
      <alignment horizontal="right" readingOrder="0"/>
    </xf>
    <xf borderId="0" fillId="7" fontId="2" numFmtId="0" xfId="0" applyAlignment="1" applyFont="1">
      <alignment horizontal="right" readingOrder="0"/>
    </xf>
    <xf borderId="0" fillId="9" fontId="2" numFmtId="49" xfId="0" applyAlignment="1" applyFill="1" applyFont="1" applyNumberFormat="1">
      <alignment readingOrder="0"/>
    </xf>
    <xf borderId="0" fillId="9" fontId="4" numFmtId="0" xfId="0" applyAlignment="1" applyFont="1">
      <alignment readingOrder="0" vertical="bottom"/>
    </xf>
    <xf borderId="0" fillId="9" fontId="2" numFmtId="0" xfId="0" applyAlignment="1" applyFont="1">
      <alignment readingOrder="0"/>
    </xf>
    <xf borderId="0" fillId="9" fontId="3" numFmtId="164" xfId="0" applyAlignment="1" applyFont="1" applyNumberFormat="1">
      <alignment readingOrder="0"/>
    </xf>
    <xf borderId="0" fillId="9" fontId="4" numFmtId="14" xfId="0" applyFont="1" applyNumberFormat="1"/>
    <xf borderId="0" fillId="9" fontId="3" numFmtId="9" xfId="0" applyFont="1" applyNumberFormat="1"/>
    <xf borderId="0" fillId="9" fontId="2" numFmtId="0" xfId="0" applyFont="1"/>
    <xf borderId="0" fillId="6" fontId="3" numFmtId="0" xfId="0" applyAlignment="1" applyFont="1">
      <alignment horizontal="right" readingOrder="0"/>
    </xf>
    <xf borderId="0" fillId="7" fontId="2" numFmtId="49" xfId="0" applyAlignment="1" applyFont="1" applyNumberFormat="1">
      <alignment readingOrder="0"/>
    </xf>
    <xf borderId="0" fillId="8" fontId="2" numFmtId="49" xfId="0" applyAlignment="1" applyFont="1" applyNumberFormat="1">
      <alignment readingOrder="0"/>
    </xf>
    <xf borderId="0" fillId="8" fontId="3" numFmtId="9" xfId="0" applyAlignment="1" applyFont="1" applyNumberFormat="1">
      <alignment readingOrder="0"/>
    </xf>
    <xf borderId="0" fillId="0" fontId="2" numFmtId="49" xfId="0" applyFont="1" applyNumberFormat="1"/>
    <xf borderId="0" fillId="0" fontId="4" numFmtId="0" xfId="0" applyAlignment="1" applyFont="1">
      <alignment vertical="bottom"/>
    </xf>
    <xf borderId="0" fillId="0" fontId="5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10" fontId="6" numFmtId="0" xfId="0" applyAlignment="1" applyFill="1" applyFont="1">
      <alignment horizontal="center"/>
    </xf>
    <xf borderId="0" fillId="11" fontId="7" numFmtId="0" xfId="0" applyAlignment="1" applyFill="1" applyFont="1">
      <alignment vertical="bottom"/>
    </xf>
    <xf borderId="0" fillId="10" fontId="8" numFmtId="0" xfId="0" applyAlignment="1" applyFont="1">
      <alignment horizontal="center" shrinkToFit="0" wrapText="1"/>
    </xf>
    <xf borderId="0" fillId="12" fontId="9" numFmtId="0" xfId="0" applyAlignment="1" applyFill="1" applyFont="1">
      <alignment shrinkToFit="0" wrapText="1"/>
    </xf>
    <xf borderId="0" fillId="12" fontId="7" numFmtId="0" xfId="0" applyFont="1"/>
    <xf borderId="0" fillId="12" fontId="9" numFmtId="166" xfId="0" applyAlignment="1" applyFont="1" applyNumberFormat="1">
      <alignment horizontal="right" shrinkToFit="0" wrapText="1"/>
    </xf>
    <xf borderId="0" fillId="12" fontId="9" numFmtId="167" xfId="0" applyAlignment="1" applyFont="1" applyNumberFormat="1">
      <alignment horizontal="right" shrinkToFit="0" wrapText="1"/>
    </xf>
    <xf borderId="0" fillId="13" fontId="10" numFmtId="0" xfId="0" applyAlignment="1" applyFill="1" applyFont="1">
      <alignment horizontal="center" shrinkToFit="0" wrapText="1"/>
    </xf>
    <xf borderId="0" fillId="0" fontId="11" numFmtId="0" xfId="0" applyAlignment="1" applyFont="1">
      <alignment shrinkToFit="0" wrapText="1"/>
    </xf>
    <xf borderId="0" fillId="0" fontId="11" numFmtId="166" xfId="0" applyAlignment="1" applyFont="1" applyNumberFormat="1">
      <alignment horizontal="right" shrinkToFit="0" wrapText="1"/>
    </xf>
    <xf borderId="0" fillId="0" fontId="11" numFmtId="167" xfId="0" applyAlignment="1" applyFont="1" applyNumberFormat="1">
      <alignment horizontal="right" shrinkToFit="0" wrapText="1"/>
    </xf>
    <xf borderId="0" fillId="0" fontId="7" numFmtId="0" xfId="0" applyFont="1"/>
    <xf borderId="0" fillId="14" fontId="12" numFmtId="0" xfId="0" applyAlignment="1" applyFill="1" applyFont="1">
      <alignment horizontal="center" shrinkToFit="0" wrapText="1"/>
    </xf>
    <xf borderId="0" fillId="0" fontId="7" numFmtId="0" xfId="0" applyAlignment="1" applyFont="1">
      <alignment readingOrder="0"/>
    </xf>
    <xf borderId="0" fillId="8" fontId="13" numFmtId="0" xfId="0" applyAlignment="1" applyFont="1">
      <alignment shrinkToFit="0" wrapText="1"/>
    </xf>
    <xf borderId="0" fillId="8" fontId="7" numFmtId="0" xfId="0" applyFont="1"/>
    <xf borderId="0" fillId="8" fontId="13" numFmtId="166" xfId="0" applyAlignment="1" applyFont="1" applyNumberFormat="1">
      <alignment horizontal="right" shrinkToFit="0" wrapText="1"/>
    </xf>
    <xf borderId="0" fillId="8" fontId="13" numFmtId="167" xfId="0" applyAlignment="1" applyFont="1" applyNumberFormat="1">
      <alignment horizontal="right" shrinkToFit="0" wrapText="1"/>
    </xf>
    <xf borderId="0" fillId="15" fontId="13" numFmtId="0" xfId="0" applyAlignment="1" applyFill="1" applyFont="1">
      <alignment horizontal="center" shrinkToFit="0" wrapText="1"/>
    </xf>
    <xf borderId="0" fillId="0" fontId="7" numFmtId="167" xfId="0" applyFont="1" applyNumberFormat="1"/>
    <xf borderId="0" fillId="12" fontId="10" numFmtId="0" xfId="0" applyAlignment="1" applyFont="1">
      <alignment horizontal="center" shrinkToFit="0" wrapText="1"/>
    </xf>
    <xf borderId="0" fillId="0" fontId="11" numFmtId="0" xfId="0" applyAlignment="1" applyFont="1">
      <alignment readingOrder="0" shrinkToFit="0" wrapText="1"/>
    </xf>
    <xf borderId="0" fillId="5" fontId="14" numFmtId="0" xfId="0" applyAlignment="1" applyFont="1">
      <alignment horizontal="center" readingOrder="0" shrinkToFit="0" wrapText="1"/>
    </xf>
    <xf borderId="0" fillId="8" fontId="13" numFmtId="0" xfId="0" applyAlignment="1" applyFont="1">
      <alignment readingOrder="0" shrinkToFit="0" wrapText="1"/>
    </xf>
    <xf borderId="0" fillId="8" fontId="13" numFmtId="0" xfId="0" applyAlignment="1" applyFont="1">
      <alignment horizontal="center" shrinkToFit="0" wrapText="1"/>
    </xf>
    <xf borderId="0" fillId="12" fontId="15" numFmtId="0" xfId="0" applyAlignment="1" applyFont="1">
      <alignment shrinkToFit="0" wrapText="1"/>
    </xf>
    <xf borderId="0" fillId="12" fontId="15" numFmtId="0" xfId="0" applyAlignment="1" applyFont="1">
      <alignment readingOrder="0" shrinkToFit="0" wrapText="1"/>
    </xf>
    <xf borderId="0" fillId="12" fontId="16" numFmtId="0" xfId="0" applyFont="1"/>
    <xf borderId="0" fillId="12" fontId="15" numFmtId="166" xfId="0" applyAlignment="1" applyFont="1" applyNumberFormat="1">
      <alignment horizontal="right" shrinkToFit="0" wrapText="1"/>
    </xf>
    <xf borderId="0" fillId="12" fontId="15" numFmtId="167" xfId="0" applyAlignment="1" applyFont="1" applyNumberFormat="1">
      <alignment horizontal="right" shrinkToFit="0" wrapText="1"/>
    </xf>
    <xf borderId="0" fillId="12" fontId="16" numFmtId="167" xfId="0" applyFont="1" applyNumberFormat="1"/>
    <xf borderId="0" fillId="13" fontId="7" numFmtId="0" xfId="0" applyFont="1"/>
    <xf borderId="0" fillId="5" fontId="15" numFmtId="0" xfId="0" applyAlignment="1" applyFont="1">
      <alignment shrinkToFit="0" wrapText="1"/>
    </xf>
    <xf borderId="0" fillId="5" fontId="15" numFmtId="0" xfId="0" applyAlignment="1" applyFont="1">
      <alignment readingOrder="0" shrinkToFit="0" wrapText="1"/>
    </xf>
    <xf borderId="0" fillId="5" fontId="15" numFmtId="166" xfId="0" applyAlignment="1" applyFont="1" applyNumberFormat="1">
      <alignment horizontal="right" shrinkToFit="0" wrapText="1"/>
    </xf>
    <xf borderId="0" fillId="5" fontId="15" numFmtId="167" xfId="0" applyAlignment="1" applyFont="1" applyNumberFormat="1">
      <alignment horizontal="right" shrinkToFit="0" wrapText="1"/>
    </xf>
    <xf borderId="0" fillId="5" fontId="16" numFmtId="167" xfId="0" applyFont="1" applyNumberFormat="1"/>
    <xf borderId="0" fillId="5" fontId="16" numFmtId="0" xfId="0" applyFont="1"/>
    <xf borderId="0" fillId="5" fontId="7" numFmtId="0" xfId="0" applyFont="1"/>
    <xf borderId="0" fillId="14" fontId="7" numFmtId="0" xfId="0" applyFont="1"/>
    <xf borderId="0" fillId="8" fontId="17" numFmtId="168" xfId="0" applyAlignment="1" applyFont="1" applyNumberFormat="1">
      <alignment readingOrder="0" shrinkToFit="0" vertical="bottom" wrapText="1"/>
    </xf>
    <xf borderId="0" fillId="8" fontId="17" numFmtId="0" xfId="0" applyAlignment="1" applyFont="1">
      <alignment readingOrder="0" shrinkToFit="0" vertical="bottom" wrapText="1"/>
    </xf>
    <xf borderId="0" fillId="8" fontId="18" numFmtId="0" xfId="0" applyAlignment="1" applyFont="1">
      <alignment readingOrder="0" shrinkToFit="0" vertical="bottom" wrapText="1"/>
    </xf>
    <xf borderId="0" fillId="8" fontId="17" numFmtId="0" xfId="0" applyAlignment="1" applyFont="1">
      <alignment shrinkToFit="0" vertical="bottom" wrapText="1"/>
    </xf>
    <xf borderId="0" fillId="8" fontId="18" numFmtId="167" xfId="0" applyAlignment="1" applyFont="1" applyNumberFormat="1">
      <alignment readingOrder="0" shrinkToFit="0" vertical="bottom" wrapText="1"/>
    </xf>
    <xf borderId="0" fillId="0" fontId="7" numFmtId="0" xfId="0" applyAlignment="1" applyFont="1">
      <alignment vertical="bottom"/>
    </xf>
    <xf borderId="0" fillId="10" fontId="19" numFmtId="0" xfId="0" applyAlignment="1" applyFont="1">
      <alignment horizontal="center" vertical="bottom"/>
    </xf>
    <xf borderId="0" fillId="11" fontId="20" numFmtId="0" xfId="0" applyAlignment="1" applyFont="1">
      <alignment vertical="bottom"/>
    </xf>
    <xf borderId="0" fillId="0" fontId="7" numFmtId="167" xfId="0" applyAlignment="1" applyFont="1" applyNumberFormat="1">
      <alignment horizontal="right" shrinkToFit="0" vertical="bottom" wrapText="1"/>
    </xf>
    <xf borderId="0" fillId="10" fontId="8" numFmtId="0" xfId="0" applyAlignment="1" applyFont="1">
      <alignment vertical="bottom"/>
    </xf>
    <xf borderId="0" fillId="10" fontId="7" numFmtId="0" xfId="0" applyAlignment="1" applyFont="1">
      <alignment vertical="bottom"/>
    </xf>
    <xf borderId="0" fillId="14" fontId="21" numFmtId="0" xfId="0" applyAlignment="1" applyFont="1">
      <alignment vertical="bottom"/>
    </xf>
    <xf borderId="0" fillId="0" fontId="7" numFmtId="0" xfId="0" applyAlignment="1" applyFont="1">
      <alignment horizontal="right" shrinkToFit="0" vertical="bottom" wrapText="1"/>
    </xf>
    <xf borderId="0" fillId="13" fontId="22" numFmtId="0" xfId="0" applyAlignment="1" applyFont="1">
      <alignment vertical="bottom"/>
    </xf>
    <xf borderId="0" fillId="15" fontId="18" numFmtId="0" xfId="0" applyAlignment="1" applyFont="1">
      <alignment horizontal="center" vertical="bottom"/>
    </xf>
    <xf borderId="0" fillId="0" fontId="7" numFmtId="14" xfId="0" applyAlignment="1" applyFont="1" applyNumberFormat="1">
      <alignment readingOrder="0" vertical="bottom"/>
    </xf>
    <xf borderId="0" fillId="5" fontId="7" numFmtId="0" xfId="0" applyAlignment="1" applyFont="1">
      <alignment vertical="bottom"/>
    </xf>
    <xf borderId="0" fillId="10" fontId="8" numFmtId="0" xfId="0" applyAlignment="1" applyFont="1">
      <alignment horizontal="center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167" xfId="0" applyAlignment="1" applyFont="1" applyNumberFormat="1">
      <alignment horizontal="right"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7" numFmtId="168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1.71"/>
    <col customWidth="1" min="3" max="3" width="42.14"/>
    <col customWidth="1" min="4" max="4" width="30.71"/>
    <col customWidth="1" min="5" max="5" width="13.14"/>
    <col customWidth="1" min="6" max="6" width="12.86"/>
    <col customWidth="1" min="7" max="7" width="16.0"/>
    <col customWidth="1" min="8" max="8" width="10.29"/>
    <col customWidth="1" min="9" max="9" width="22.29"/>
    <col customWidth="1" min="10" max="10" width="10.14"/>
    <col customWidth="1" min="11" max="11" width="29.57"/>
    <col customWidth="1" min="12" max="12" width="33.71"/>
    <col customWidth="1" min="13" max="13" width="6.29"/>
    <col customWidth="1" min="14" max="14" width="10.14"/>
    <col customWidth="1" min="15" max="26" width="10.29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14</v>
      </c>
      <c r="B2" s="9" t="s">
        <v>15</v>
      </c>
      <c r="C2" s="10"/>
      <c r="D2" s="11" t="s">
        <v>16</v>
      </c>
      <c r="E2" s="12">
        <v>46097.0</v>
      </c>
      <c r="F2" s="12">
        <v>46097.0</v>
      </c>
      <c r="G2" s="13"/>
      <c r="H2" s="14">
        <v>0.0</v>
      </c>
      <c r="I2" s="14">
        <v>0.0</v>
      </c>
      <c r="J2" s="15">
        <f t="shared" ref="J2:J68" si="1">I2-H2</f>
        <v>0</v>
      </c>
      <c r="K2" s="14">
        <f>SUM(K3:K5)</f>
        <v>30</v>
      </c>
      <c r="L2" s="10" t="s">
        <v>16</v>
      </c>
      <c r="M2" s="10">
        <v>0.0</v>
      </c>
      <c r="N2" s="10">
        <v>0.0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 t="s">
        <v>17</v>
      </c>
      <c r="B3" s="17" t="s">
        <v>18</v>
      </c>
      <c r="C3" s="18" t="s">
        <v>19</v>
      </c>
      <c r="D3" s="19" t="s">
        <v>20</v>
      </c>
      <c r="E3" s="20">
        <v>46097.0</v>
      </c>
      <c r="F3" s="21">
        <v>46097.0</v>
      </c>
      <c r="G3" s="22"/>
      <c r="H3" s="23">
        <v>0.0</v>
      </c>
      <c r="I3" s="23">
        <v>0.0</v>
      </c>
      <c r="J3" s="24">
        <f t="shared" si="1"/>
        <v>0</v>
      </c>
      <c r="K3" s="23">
        <v>10.0</v>
      </c>
      <c r="L3" s="18" t="s">
        <v>16</v>
      </c>
      <c r="M3" s="18">
        <v>0.0</v>
      </c>
      <c r="N3" s="18">
        <v>0.0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6" t="s">
        <v>21</v>
      </c>
      <c r="B4" s="17" t="s">
        <v>18</v>
      </c>
      <c r="C4" s="18" t="s">
        <v>22</v>
      </c>
      <c r="D4" s="19" t="s">
        <v>20</v>
      </c>
      <c r="E4" s="21">
        <v>46097.0</v>
      </c>
      <c r="F4" s="20">
        <v>46097.0</v>
      </c>
      <c r="G4" s="22"/>
      <c r="H4" s="23">
        <v>0.0</v>
      </c>
      <c r="I4" s="23">
        <v>0.0</v>
      </c>
      <c r="J4" s="24">
        <f t="shared" si="1"/>
        <v>0</v>
      </c>
      <c r="K4" s="23">
        <v>10.0</v>
      </c>
      <c r="L4" s="18" t="s">
        <v>16</v>
      </c>
      <c r="M4" s="18">
        <v>0.0</v>
      </c>
      <c r="N4" s="18">
        <v>0.0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6" t="s">
        <v>23</v>
      </c>
      <c r="B5" s="17" t="s">
        <v>24</v>
      </c>
      <c r="C5" s="18" t="s">
        <v>25</v>
      </c>
      <c r="D5" s="19" t="s">
        <v>20</v>
      </c>
      <c r="E5" s="21">
        <v>46097.0</v>
      </c>
      <c r="F5" s="21">
        <v>46097.0</v>
      </c>
      <c r="G5" s="22"/>
      <c r="H5" s="23">
        <v>0.0</v>
      </c>
      <c r="I5" s="23">
        <v>0.0</v>
      </c>
      <c r="J5" s="24">
        <f t="shared" si="1"/>
        <v>0</v>
      </c>
      <c r="K5" s="23">
        <v>10.0</v>
      </c>
      <c r="L5" s="18" t="s">
        <v>16</v>
      </c>
      <c r="M5" s="18">
        <v>0.0</v>
      </c>
      <c r="N5" s="18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5" t="s">
        <v>26</v>
      </c>
      <c r="B6" s="26" t="s">
        <v>27</v>
      </c>
      <c r="C6" s="27" t="s">
        <v>28</v>
      </c>
      <c r="D6" s="26"/>
      <c r="E6" s="28">
        <v>46097.0</v>
      </c>
      <c r="F6" s="28">
        <v>46097.0</v>
      </c>
      <c r="G6" s="29"/>
      <c r="H6" s="27">
        <v>0.0</v>
      </c>
      <c r="I6" s="27">
        <v>0.0</v>
      </c>
      <c r="J6" s="30">
        <f t="shared" si="1"/>
        <v>0</v>
      </c>
      <c r="K6" s="27">
        <v>0.0</v>
      </c>
      <c r="L6" s="31"/>
      <c r="M6" s="27">
        <v>0.0</v>
      </c>
      <c r="N6" s="27">
        <v>0.0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29</v>
      </c>
      <c r="B7" s="9" t="s">
        <v>30</v>
      </c>
      <c r="C7" s="10"/>
      <c r="D7" s="11" t="s">
        <v>16</v>
      </c>
      <c r="E7" s="12">
        <v>46098.0</v>
      </c>
      <c r="F7" s="12">
        <v>46098.0</v>
      </c>
      <c r="G7" s="13"/>
      <c r="H7" s="10">
        <v>0.0</v>
      </c>
      <c r="I7" s="14">
        <v>0.0</v>
      </c>
      <c r="J7" s="15">
        <f t="shared" si="1"/>
        <v>0</v>
      </c>
      <c r="K7" s="14">
        <f>SUM(K8:K9)</f>
        <v>24</v>
      </c>
      <c r="L7" s="10" t="s">
        <v>16</v>
      </c>
      <c r="M7" s="10">
        <v>0.0</v>
      </c>
      <c r="N7" s="10">
        <v>0.0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6" t="s">
        <v>31</v>
      </c>
      <c r="B8" s="17" t="s">
        <v>24</v>
      </c>
      <c r="C8" s="18" t="s">
        <v>32</v>
      </c>
      <c r="D8" s="19" t="s">
        <v>20</v>
      </c>
      <c r="E8" s="21">
        <v>46098.0</v>
      </c>
      <c r="F8" s="21">
        <v>46098.0</v>
      </c>
      <c r="G8" s="22"/>
      <c r="H8" s="23">
        <v>0.0</v>
      </c>
      <c r="I8" s="23">
        <v>0.0</v>
      </c>
      <c r="J8" s="24">
        <f t="shared" si="1"/>
        <v>0</v>
      </c>
      <c r="K8" s="23">
        <v>12.0</v>
      </c>
      <c r="L8" s="18" t="s">
        <v>16</v>
      </c>
      <c r="M8" s="18">
        <v>0.0</v>
      </c>
      <c r="N8" s="18">
        <v>0.0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 t="s">
        <v>33</v>
      </c>
      <c r="B9" s="17" t="s">
        <v>24</v>
      </c>
      <c r="C9" s="18" t="s">
        <v>34</v>
      </c>
      <c r="D9" s="19" t="s">
        <v>20</v>
      </c>
      <c r="E9" s="21">
        <v>46098.0</v>
      </c>
      <c r="F9" s="21">
        <v>46098.0</v>
      </c>
      <c r="G9" s="22"/>
      <c r="H9" s="23">
        <v>0.0</v>
      </c>
      <c r="I9" s="23">
        <v>0.0</v>
      </c>
      <c r="J9" s="24">
        <f t="shared" si="1"/>
        <v>0</v>
      </c>
      <c r="K9" s="23">
        <v>12.0</v>
      </c>
      <c r="L9" s="18" t="s">
        <v>16</v>
      </c>
      <c r="M9" s="18">
        <v>0.0</v>
      </c>
      <c r="N9" s="18">
        <v>0.0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2" t="s">
        <v>35</v>
      </c>
      <c r="B10" s="33" t="s">
        <v>27</v>
      </c>
      <c r="C10" s="27" t="s">
        <v>36</v>
      </c>
      <c r="D10" s="33" t="s">
        <v>16</v>
      </c>
      <c r="E10" s="28">
        <v>46098.0</v>
      </c>
      <c r="F10" s="28">
        <v>46098.0</v>
      </c>
      <c r="G10" s="29"/>
      <c r="H10" s="27">
        <v>0.0</v>
      </c>
      <c r="I10" s="27">
        <v>0.0</v>
      </c>
      <c r="J10" s="30">
        <f t="shared" si="1"/>
        <v>0</v>
      </c>
      <c r="K10" s="27">
        <v>0.0</v>
      </c>
      <c r="L10" s="31" t="s">
        <v>16</v>
      </c>
      <c r="M10" s="31">
        <v>0.0</v>
      </c>
      <c r="N10" s="31">
        <v>0.0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37</v>
      </c>
      <c r="B11" s="9" t="s">
        <v>38</v>
      </c>
      <c r="C11" s="10"/>
      <c r="D11" s="11" t="s">
        <v>16</v>
      </c>
      <c r="E11" s="12">
        <v>46099.0</v>
      </c>
      <c r="F11" s="12">
        <v>46106.0</v>
      </c>
      <c r="G11" s="13"/>
      <c r="H11" s="10">
        <v>0.0</v>
      </c>
      <c r="I11" s="14">
        <v>0.0</v>
      </c>
      <c r="J11" s="15">
        <f t="shared" si="1"/>
        <v>0</v>
      </c>
      <c r="K11" s="34">
        <f>SUM(K12,K16,K17,K18)</f>
        <v>138</v>
      </c>
      <c r="L11" s="10" t="s">
        <v>16</v>
      </c>
      <c r="M11" s="10">
        <v>0.0</v>
      </c>
      <c r="N11" s="10">
        <v>0.0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6" t="s">
        <v>39</v>
      </c>
      <c r="B12" s="17" t="s">
        <v>24</v>
      </c>
      <c r="C12" s="18" t="s">
        <v>40</v>
      </c>
      <c r="D12" s="19" t="s">
        <v>20</v>
      </c>
      <c r="E12" s="21">
        <v>46099.0</v>
      </c>
      <c r="F12" s="21">
        <v>46099.0</v>
      </c>
      <c r="G12" s="22"/>
      <c r="H12" s="18">
        <v>0.0</v>
      </c>
      <c r="I12" s="23">
        <v>0.0</v>
      </c>
      <c r="J12" s="24">
        <f t="shared" si="1"/>
        <v>0</v>
      </c>
      <c r="K12" s="35">
        <f>SUM(K13+K14+K15)</f>
        <v>30</v>
      </c>
      <c r="L12" s="18" t="s">
        <v>16</v>
      </c>
      <c r="M12" s="18">
        <v>0.0</v>
      </c>
      <c r="N12" s="18">
        <v>0.0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6" t="s">
        <v>41</v>
      </c>
      <c r="B13" s="37" t="s">
        <v>24</v>
      </c>
      <c r="C13" s="38" t="s">
        <v>42</v>
      </c>
      <c r="D13" s="37" t="s">
        <v>20</v>
      </c>
      <c r="E13" s="39">
        <v>46099.0</v>
      </c>
      <c r="F13" s="39">
        <v>46099.0</v>
      </c>
      <c r="G13" s="40"/>
      <c r="H13" s="38">
        <v>0.0</v>
      </c>
      <c r="I13" s="38">
        <v>0.0</v>
      </c>
      <c r="J13" s="41">
        <f t="shared" si="1"/>
        <v>0</v>
      </c>
      <c r="K13" s="38">
        <v>8.0</v>
      </c>
      <c r="L13" s="42"/>
      <c r="M13" s="42"/>
      <c r="N13" s="42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6" t="s">
        <v>43</v>
      </c>
      <c r="B14" s="37" t="s">
        <v>24</v>
      </c>
      <c r="C14" s="38" t="s">
        <v>44</v>
      </c>
      <c r="D14" s="37" t="s">
        <v>20</v>
      </c>
      <c r="E14" s="39">
        <v>46099.0</v>
      </c>
      <c r="F14" s="39">
        <v>46099.0</v>
      </c>
      <c r="G14" s="40"/>
      <c r="H14" s="38">
        <v>0.0</v>
      </c>
      <c r="I14" s="38">
        <v>0.0</v>
      </c>
      <c r="J14" s="41">
        <f t="shared" si="1"/>
        <v>0</v>
      </c>
      <c r="K14" s="38">
        <v>8.0</v>
      </c>
      <c r="L14" s="42"/>
      <c r="M14" s="42"/>
      <c r="N14" s="42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6" t="s">
        <v>45</v>
      </c>
      <c r="B15" s="37" t="s">
        <v>24</v>
      </c>
      <c r="C15" s="38" t="s">
        <v>46</v>
      </c>
      <c r="D15" s="37" t="s">
        <v>20</v>
      </c>
      <c r="E15" s="39">
        <v>46099.0</v>
      </c>
      <c r="F15" s="39">
        <v>46099.0</v>
      </c>
      <c r="G15" s="40"/>
      <c r="H15" s="38">
        <v>0.0</v>
      </c>
      <c r="I15" s="38">
        <v>0.0</v>
      </c>
      <c r="J15" s="41">
        <f t="shared" si="1"/>
        <v>0</v>
      </c>
      <c r="K15" s="38">
        <v>14.0</v>
      </c>
      <c r="L15" s="42"/>
      <c r="M15" s="42"/>
      <c r="N15" s="42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6" t="s">
        <v>47</v>
      </c>
      <c r="B16" s="17" t="s">
        <v>48</v>
      </c>
      <c r="C16" s="18" t="s">
        <v>49</v>
      </c>
      <c r="D16" s="19" t="s">
        <v>20</v>
      </c>
      <c r="E16" s="21">
        <v>46100.0</v>
      </c>
      <c r="F16" s="21">
        <v>46100.0</v>
      </c>
      <c r="G16" s="22"/>
      <c r="H16" s="18">
        <v>0.0</v>
      </c>
      <c r="I16" s="23">
        <v>0.0</v>
      </c>
      <c r="J16" s="24">
        <f t="shared" si="1"/>
        <v>0</v>
      </c>
      <c r="K16" s="23">
        <v>30.0</v>
      </c>
      <c r="L16" s="18" t="s">
        <v>16</v>
      </c>
      <c r="M16" s="18">
        <v>0.0</v>
      </c>
      <c r="N16" s="18">
        <v>0.0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6" t="s">
        <v>50</v>
      </c>
      <c r="B17" s="17" t="s">
        <v>24</v>
      </c>
      <c r="C17" s="18" t="s">
        <v>51</v>
      </c>
      <c r="D17" s="19" t="s">
        <v>20</v>
      </c>
      <c r="E17" s="21">
        <v>46101.0</v>
      </c>
      <c r="F17" s="21">
        <v>46101.0</v>
      </c>
      <c r="G17" s="22"/>
      <c r="H17" s="18">
        <v>0.0</v>
      </c>
      <c r="I17" s="23">
        <v>0.0</v>
      </c>
      <c r="J17" s="24">
        <f t="shared" si="1"/>
        <v>0</v>
      </c>
      <c r="K17" s="23">
        <v>30.0</v>
      </c>
      <c r="L17" s="18" t="s">
        <v>16</v>
      </c>
      <c r="M17" s="18">
        <v>0.0</v>
      </c>
      <c r="N17" s="18">
        <v>0.0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6" t="s">
        <v>52</v>
      </c>
      <c r="B18" s="17" t="s">
        <v>48</v>
      </c>
      <c r="C18" s="18" t="s">
        <v>53</v>
      </c>
      <c r="D18" s="19" t="s">
        <v>20</v>
      </c>
      <c r="E18" s="21">
        <v>46104.0</v>
      </c>
      <c r="F18" s="21">
        <v>46106.0</v>
      </c>
      <c r="G18" s="22"/>
      <c r="H18" s="18">
        <v>0.0</v>
      </c>
      <c r="I18" s="23">
        <v>0.0</v>
      </c>
      <c r="J18" s="24">
        <f t="shared" si="1"/>
        <v>0</v>
      </c>
      <c r="K18" s="23">
        <f>SUM(K19:K20)</f>
        <v>48</v>
      </c>
      <c r="L18" s="18" t="s">
        <v>16</v>
      </c>
      <c r="M18" s="18">
        <v>0.0</v>
      </c>
      <c r="N18" s="18">
        <v>0.0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6" t="s">
        <v>54</v>
      </c>
      <c r="B19" s="37" t="s">
        <v>48</v>
      </c>
      <c r="C19" s="38" t="s">
        <v>55</v>
      </c>
      <c r="D19" s="37" t="s">
        <v>20</v>
      </c>
      <c r="E19" s="39">
        <v>46104.0</v>
      </c>
      <c r="F19" s="39">
        <v>46105.0</v>
      </c>
      <c r="G19" s="40"/>
      <c r="H19" s="38">
        <v>0.0</v>
      </c>
      <c r="I19" s="38">
        <v>0.0</v>
      </c>
      <c r="J19" s="41">
        <f t="shared" si="1"/>
        <v>0</v>
      </c>
      <c r="K19" s="38">
        <v>24.0</v>
      </c>
      <c r="L19" s="42"/>
      <c r="M19" s="42"/>
      <c r="N19" s="42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6" t="s">
        <v>56</v>
      </c>
      <c r="B20" s="37" t="s">
        <v>48</v>
      </c>
      <c r="C20" s="38" t="s">
        <v>57</v>
      </c>
      <c r="D20" s="37" t="s">
        <v>20</v>
      </c>
      <c r="E20" s="39">
        <v>46105.0</v>
      </c>
      <c r="F20" s="39">
        <v>46106.0</v>
      </c>
      <c r="G20" s="40"/>
      <c r="H20" s="38">
        <v>0.0</v>
      </c>
      <c r="I20" s="38">
        <v>0.0</v>
      </c>
      <c r="J20" s="41">
        <f t="shared" si="1"/>
        <v>0</v>
      </c>
      <c r="K20" s="38">
        <v>24.0</v>
      </c>
      <c r="L20" s="42"/>
      <c r="M20" s="42"/>
      <c r="N20" s="42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2" t="s">
        <v>58</v>
      </c>
      <c r="B21" s="33" t="s">
        <v>24</v>
      </c>
      <c r="C21" s="27" t="s">
        <v>59</v>
      </c>
      <c r="D21" s="33" t="s">
        <v>16</v>
      </c>
      <c r="E21" s="28">
        <v>46106.0</v>
      </c>
      <c r="F21" s="28">
        <v>46106.0</v>
      </c>
      <c r="G21" s="29"/>
      <c r="H21" s="31">
        <v>0.0</v>
      </c>
      <c r="I21" s="27">
        <v>0.0</v>
      </c>
      <c r="J21" s="30">
        <f t="shared" si="1"/>
        <v>0</v>
      </c>
      <c r="K21" s="31">
        <v>0.0</v>
      </c>
      <c r="L21" s="31" t="s">
        <v>16</v>
      </c>
      <c r="M21" s="31">
        <v>0.0</v>
      </c>
      <c r="N21" s="31">
        <v>0.0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60</v>
      </c>
      <c r="B22" s="9" t="s">
        <v>61</v>
      </c>
      <c r="C22" s="10"/>
      <c r="D22" s="11" t="s">
        <v>16</v>
      </c>
      <c r="E22" s="12">
        <v>46107.0</v>
      </c>
      <c r="F22" s="12">
        <v>46126.0</v>
      </c>
      <c r="G22" s="13"/>
      <c r="H22" s="10">
        <v>0.0</v>
      </c>
      <c r="I22" s="14">
        <v>0.0</v>
      </c>
      <c r="J22" s="15">
        <f t="shared" si="1"/>
        <v>0</v>
      </c>
      <c r="K22" s="43">
        <f>SUM(K23,K24,K28,K32,K39,K46,K47)</f>
        <v>954</v>
      </c>
      <c r="L22" s="10" t="s">
        <v>16</v>
      </c>
      <c r="M22" s="10">
        <v>0.0</v>
      </c>
      <c r="N22" s="10">
        <v>0.0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6" t="s">
        <v>62</v>
      </c>
      <c r="B23" s="17" t="s">
        <v>63</v>
      </c>
      <c r="C23" s="18" t="s">
        <v>64</v>
      </c>
      <c r="D23" s="19" t="s">
        <v>65</v>
      </c>
      <c r="E23" s="21">
        <v>46107.0</v>
      </c>
      <c r="F23" s="21">
        <v>46114.0</v>
      </c>
      <c r="G23" s="22"/>
      <c r="H23" s="18">
        <v>0.0</v>
      </c>
      <c r="I23" s="23">
        <v>0.0</v>
      </c>
      <c r="J23" s="24">
        <f t="shared" si="1"/>
        <v>0</v>
      </c>
      <c r="K23" s="23">
        <v>36.0</v>
      </c>
      <c r="L23" s="18" t="s">
        <v>16</v>
      </c>
      <c r="M23" s="18">
        <v>0.0</v>
      </c>
      <c r="N23" s="18">
        <v>0.0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6" t="s">
        <v>66</v>
      </c>
      <c r="B24" s="17" t="s">
        <v>48</v>
      </c>
      <c r="C24" s="18" t="s">
        <v>67</v>
      </c>
      <c r="D24" s="19" t="s">
        <v>68</v>
      </c>
      <c r="E24" s="21">
        <v>46114.0</v>
      </c>
      <c r="F24" s="21">
        <v>46126.0</v>
      </c>
      <c r="G24" s="22"/>
      <c r="H24" s="18">
        <v>0.0</v>
      </c>
      <c r="I24" s="23">
        <v>0.0</v>
      </c>
      <c r="J24" s="24">
        <f t="shared" si="1"/>
        <v>0</v>
      </c>
      <c r="K24" s="23">
        <f>SUM(K25:K27)</f>
        <v>114</v>
      </c>
      <c r="L24" s="18" t="s">
        <v>16</v>
      </c>
      <c r="M24" s="18">
        <v>0.0</v>
      </c>
      <c r="N24" s="18">
        <v>0.0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6" t="s">
        <v>69</v>
      </c>
      <c r="B25" s="37" t="s">
        <v>48</v>
      </c>
      <c r="C25" s="38" t="s">
        <v>70</v>
      </c>
      <c r="D25" s="37" t="s">
        <v>71</v>
      </c>
      <c r="E25" s="39">
        <v>46114.0</v>
      </c>
      <c r="F25" s="39">
        <v>46121.0</v>
      </c>
      <c r="G25" s="40"/>
      <c r="H25" s="38">
        <v>0.0</v>
      </c>
      <c r="I25" s="38">
        <v>0.0</v>
      </c>
      <c r="J25" s="41">
        <f t="shared" si="1"/>
        <v>0</v>
      </c>
      <c r="K25" s="38">
        <v>38.0</v>
      </c>
      <c r="L25" s="42"/>
      <c r="M25" s="42"/>
      <c r="N25" s="42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6" t="s">
        <v>72</v>
      </c>
      <c r="B26" s="37" t="s">
        <v>48</v>
      </c>
      <c r="C26" s="38" t="s">
        <v>73</v>
      </c>
      <c r="D26" s="37" t="s">
        <v>74</v>
      </c>
      <c r="E26" s="39">
        <v>46114.0</v>
      </c>
      <c r="F26" s="39">
        <v>46121.0</v>
      </c>
      <c r="G26" s="40"/>
      <c r="H26" s="38">
        <v>0.0</v>
      </c>
      <c r="I26" s="38">
        <v>0.0</v>
      </c>
      <c r="J26" s="41">
        <f t="shared" si="1"/>
        <v>0</v>
      </c>
      <c r="K26" s="38">
        <v>38.0</v>
      </c>
      <c r="L26" s="42"/>
      <c r="M26" s="42"/>
      <c r="N26" s="42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6" t="s">
        <v>75</v>
      </c>
      <c r="B27" s="37" t="s">
        <v>48</v>
      </c>
      <c r="C27" s="38" t="s">
        <v>76</v>
      </c>
      <c r="D27" s="37" t="s">
        <v>68</v>
      </c>
      <c r="E27" s="39">
        <v>46121.0</v>
      </c>
      <c r="F27" s="39">
        <v>46126.0</v>
      </c>
      <c r="G27" s="40"/>
      <c r="H27" s="38">
        <v>0.0</v>
      </c>
      <c r="I27" s="38">
        <v>0.0</v>
      </c>
      <c r="J27" s="41">
        <f t="shared" si="1"/>
        <v>0</v>
      </c>
      <c r="K27" s="38">
        <v>38.0</v>
      </c>
      <c r="L27" s="42"/>
      <c r="M27" s="42"/>
      <c r="N27" s="42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4" t="s">
        <v>77</v>
      </c>
      <c r="B28" s="17" t="s">
        <v>48</v>
      </c>
      <c r="C28" s="18" t="s">
        <v>78</v>
      </c>
      <c r="D28" s="19" t="s">
        <v>79</v>
      </c>
      <c r="E28" s="21">
        <v>46114.0</v>
      </c>
      <c r="F28" s="21">
        <v>46126.0</v>
      </c>
      <c r="G28" s="22"/>
      <c r="H28" s="18">
        <v>0.0</v>
      </c>
      <c r="I28" s="23">
        <v>0.0</v>
      </c>
      <c r="J28" s="24">
        <f t="shared" si="1"/>
        <v>0</v>
      </c>
      <c r="K28" s="23">
        <f>SUM(K29:K30)</f>
        <v>60</v>
      </c>
      <c r="L28" s="18" t="s">
        <v>16</v>
      </c>
      <c r="M28" s="18">
        <v>0.0</v>
      </c>
      <c r="N28" s="18">
        <v>0.0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6" t="s">
        <v>80</v>
      </c>
      <c r="B29" s="37" t="s">
        <v>48</v>
      </c>
      <c r="C29" s="38" t="s">
        <v>81</v>
      </c>
      <c r="D29" s="37" t="s">
        <v>79</v>
      </c>
      <c r="E29" s="39">
        <v>46114.0</v>
      </c>
      <c r="F29" s="39">
        <v>46120.0</v>
      </c>
      <c r="G29" s="40"/>
      <c r="H29" s="38">
        <v>0.0</v>
      </c>
      <c r="I29" s="38">
        <v>0.0</v>
      </c>
      <c r="J29" s="41">
        <f t="shared" si="1"/>
        <v>0</v>
      </c>
      <c r="K29" s="38">
        <v>30.0</v>
      </c>
      <c r="L29" s="42"/>
      <c r="M29" s="42"/>
      <c r="N29" s="42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6" t="s">
        <v>82</v>
      </c>
      <c r="B30" s="37" t="s">
        <v>48</v>
      </c>
      <c r="C30" s="38" t="s">
        <v>83</v>
      </c>
      <c r="D30" s="37" t="s">
        <v>79</v>
      </c>
      <c r="E30" s="39">
        <v>46120.0</v>
      </c>
      <c r="F30" s="39">
        <v>46126.0</v>
      </c>
      <c r="G30" s="40"/>
      <c r="H30" s="38">
        <v>0.0</v>
      </c>
      <c r="I30" s="38">
        <v>0.0</v>
      </c>
      <c r="J30" s="41">
        <f t="shared" si="1"/>
        <v>0</v>
      </c>
      <c r="K30" s="38">
        <v>30.0</v>
      </c>
      <c r="L30" s="42"/>
      <c r="M30" s="42"/>
      <c r="N30" s="42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5" t="s">
        <v>84</v>
      </c>
      <c r="B31" s="26" t="s">
        <v>48</v>
      </c>
      <c r="C31" s="27" t="s">
        <v>85</v>
      </c>
      <c r="D31" s="33"/>
      <c r="E31" s="28">
        <v>46126.0</v>
      </c>
      <c r="F31" s="28">
        <v>46126.0</v>
      </c>
      <c r="G31" s="29"/>
      <c r="H31" s="27">
        <v>0.0</v>
      </c>
      <c r="I31" s="27">
        <v>0.0</v>
      </c>
      <c r="J31" s="30">
        <f t="shared" si="1"/>
        <v>0</v>
      </c>
      <c r="K31" s="27">
        <v>0.0</v>
      </c>
      <c r="L31" s="31"/>
      <c r="M31" s="31"/>
      <c r="N31" s="31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44" t="s">
        <v>86</v>
      </c>
      <c r="B32" s="17" t="s">
        <v>48</v>
      </c>
      <c r="C32" s="18" t="s">
        <v>87</v>
      </c>
      <c r="D32" s="19" t="s">
        <v>68</v>
      </c>
      <c r="E32" s="21">
        <v>46127.0</v>
      </c>
      <c r="F32" s="21"/>
      <c r="G32" s="22"/>
      <c r="H32" s="18">
        <v>0.0</v>
      </c>
      <c r="I32" s="23">
        <v>0.0</v>
      </c>
      <c r="J32" s="24">
        <f t="shared" si="1"/>
        <v>0</v>
      </c>
      <c r="K32" s="35">
        <f>SUM(K33:K37)</f>
        <v>300</v>
      </c>
      <c r="L32" s="18" t="s">
        <v>16</v>
      </c>
      <c r="M32" s="18">
        <v>0.0</v>
      </c>
      <c r="N32" s="18">
        <v>0.0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36" t="s">
        <v>88</v>
      </c>
      <c r="B33" s="37" t="s">
        <v>48</v>
      </c>
      <c r="C33" s="38" t="s">
        <v>89</v>
      </c>
      <c r="D33" s="37" t="s">
        <v>68</v>
      </c>
      <c r="E33" s="39">
        <v>46127.0</v>
      </c>
      <c r="F33" s="39">
        <v>46133.0</v>
      </c>
      <c r="G33" s="40"/>
      <c r="H33" s="38">
        <v>0.0</v>
      </c>
      <c r="I33" s="38">
        <v>0.0</v>
      </c>
      <c r="J33" s="41">
        <f t="shared" si="1"/>
        <v>0</v>
      </c>
      <c r="K33" s="38">
        <v>60.0</v>
      </c>
      <c r="L33" s="42"/>
      <c r="M33" s="42"/>
      <c r="N33" s="42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6" t="s">
        <v>90</v>
      </c>
      <c r="B34" s="37" t="s">
        <v>48</v>
      </c>
      <c r="C34" s="38" t="s">
        <v>91</v>
      </c>
      <c r="D34" s="37" t="s">
        <v>71</v>
      </c>
      <c r="E34" s="39">
        <v>46133.0</v>
      </c>
      <c r="F34" s="39">
        <v>46143.0</v>
      </c>
      <c r="G34" s="40"/>
      <c r="H34" s="38">
        <v>0.0</v>
      </c>
      <c r="I34" s="38">
        <v>0.0</v>
      </c>
      <c r="J34" s="41">
        <f t="shared" si="1"/>
        <v>0</v>
      </c>
      <c r="K34" s="38">
        <v>60.0</v>
      </c>
      <c r="L34" s="42"/>
      <c r="M34" s="42"/>
      <c r="N34" s="42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36" t="s">
        <v>92</v>
      </c>
      <c r="B35" s="37" t="s">
        <v>48</v>
      </c>
      <c r="C35" s="38" t="s">
        <v>93</v>
      </c>
      <c r="D35" s="37" t="s">
        <v>74</v>
      </c>
      <c r="E35" s="39">
        <v>46133.0</v>
      </c>
      <c r="F35" s="39">
        <v>46143.0</v>
      </c>
      <c r="G35" s="40"/>
      <c r="H35" s="38">
        <v>0.0</v>
      </c>
      <c r="I35" s="38">
        <v>0.0</v>
      </c>
      <c r="J35" s="41">
        <f t="shared" si="1"/>
        <v>0</v>
      </c>
      <c r="K35" s="38">
        <v>60.0</v>
      </c>
      <c r="L35" s="42"/>
      <c r="M35" s="42"/>
      <c r="N35" s="42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6" t="s">
        <v>94</v>
      </c>
      <c r="B36" s="37" t="s">
        <v>48</v>
      </c>
      <c r="C36" s="38" t="s">
        <v>95</v>
      </c>
      <c r="D36" s="37" t="s">
        <v>68</v>
      </c>
      <c r="E36" s="39">
        <v>46143.0</v>
      </c>
      <c r="F36" s="39">
        <v>46148.0</v>
      </c>
      <c r="G36" s="40"/>
      <c r="H36" s="38">
        <v>0.0</v>
      </c>
      <c r="I36" s="38">
        <v>0.0</v>
      </c>
      <c r="J36" s="41">
        <f t="shared" si="1"/>
        <v>0</v>
      </c>
      <c r="K36" s="38">
        <v>60.0</v>
      </c>
      <c r="L36" s="42"/>
      <c r="M36" s="42"/>
      <c r="N36" s="42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36" t="s">
        <v>96</v>
      </c>
      <c r="B37" s="37" t="s">
        <v>48</v>
      </c>
      <c r="C37" s="38" t="s">
        <v>97</v>
      </c>
      <c r="D37" s="37" t="s">
        <v>68</v>
      </c>
      <c r="E37" s="39">
        <v>46148.0</v>
      </c>
      <c r="F37" s="39">
        <v>46154.0</v>
      </c>
      <c r="G37" s="40"/>
      <c r="H37" s="38">
        <v>0.0</v>
      </c>
      <c r="I37" s="38">
        <v>0.0</v>
      </c>
      <c r="J37" s="41">
        <f t="shared" si="1"/>
        <v>0</v>
      </c>
      <c r="K37" s="38">
        <v>60.0</v>
      </c>
      <c r="L37" s="42"/>
      <c r="M37" s="42"/>
      <c r="N37" s="42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45" t="s">
        <v>98</v>
      </c>
      <c r="B38" s="26" t="s">
        <v>48</v>
      </c>
      <c r="C38" s="27" t="s">
        <v>99</v>
      </c>
      <c r="D38" s="33"/>
      <c r="E38" s="28">
        <v>46148.0</v>
      </c>
      <c r="F38" s="28">
        <v>46148.0</v>
      </c>
      <c r="G38" s="29"/>
      <c r="H38" s="27">
        <v>0.0</v>
      </c>
      <c r="I38" s="27">
        <v>0.0</v>
      </c>
      <c r="J38" s="30">
        <f t="shared" si="1"/>
        <v>0</v>
      </c>
      <c r="K38" s="27">
        <v>0.0</v>
      </c>
      <c r="L38" s="31"/>
      <c r="M38" s="31"/>
      <c r="N38" s="31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44" t="s">
        <v>100</v>
      </c>
      <c r="B39" s="17" t="s">
        <v>48</v>
      </c>
      <c r="C39" s="18" t="s">
        <v>101</v>
      </c>
      <c r="D39" s="19" t="s">
        <v>102</v>
      </c>
      <c r="E39" s="21">
        <v>46127.0</v>
      </c>
      <c r="F39" s="21"/>
      <c r="G39" s="22"/>
      <c r="H39" s="18">
        <v>0.0</v>
      </c>
      <c r="I39" s="23">
        <v>0.0</v>
      </c>
      <c r="J39" s="24">
        <f t="shared" si="1"/>
        <v>0</v>
      </c>
      <c r="K39" s="23">
        <f>SUM(K40:K45)</f>
        <v>346</v>
      </c>
      <c r="L39" s="18" t="s">
        <v>16</v>
      </c>
      <c r="M39" s="18">
        <v>0.0</v>
      </c>
      <c r="N39" s="18">
        <v>0.0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6" t="s">
        <v>103</v>
      </c>
      <c r="B40" s="37" t="s">
        <v>48</v>
      </c>
      <c r="C40" s="38" t="s">
        <v>104</v>
      </c>
      <c r="D40" s="37" t="s">
        <v>102</v>
      </c>
      <c r="E40" s="39">
        <v>46127.0</v>
      </c>
      <c r="F40" s="39">
        <v>46133.0</v>
      </c>
      <c r="G40" s="40"/>
      <c r="H40" s="38">
        <v>0.0</v>
      </c>
      <c r="I40" s="38">
        <v>0.0</v>
      </c>
      <c r="J40" s="41">
        <f t="shared" si="1"/>
        <v>0</v>
      </c>
      <c r="K40" s="38">
        <v>58.0</v>
      </c>
      <c r="L40" s="42"/>
      <c r="M40" s="42"/>
      <c r="N40" s="42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36" t="s">
        <v>105</v>
      </c>
      <c r="B41" s="37" t="s">
        <v>48</v>
      </c>
      <c r="C41" s="38" t="s">
        <v>106</v>
      </c>
      <c r="D41" s="37" t="s">
        <v>102</v>
      </c>
      <c r="E41" s="39">
        <v>46133.0</v>
      </c>
      <c r="F41" s="39">
        <v>46143.0</v>
      </c>
      <c r="G41" s="40"/>
      <c r="H41" s="38">
        <v>0.0</v>
      </c>
      <c r="I41" s="38">
        <v>0.0</v>
      </c>
      <c r="J41" s="41">
        <f t="shared" si="1"/>
        <v>0</v>
      </c>
      <c r="K41" s="38">
        <v>58.0</v>
      </c>
      <c r="L41" s="42"/>
      <c r="M41" s="42"/>
      <c r="N41" s="42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6" t="s">
        <v>107</v>
      </c>
      <c r="B42" s="37" t="s">
        <v>48</v>
      </c>
      <c r="C42" s="38" t="s">
        <v>108</v>
      </c>
      <c r="D42" s="37" t="s">
        <v>102</v>
      </c>
      <c r="E42" s="39">
        <v>46143.0</v>
      </c>
      <c r="F42" s="39">
        <v>46148.0</v>
      </c>
      <c r="G42" s="40"/>
      <c r="H42" s="38">
        <v>0.0</v>
      </c>
      <c r="I42" s="38">
        <v>0.0</v>
      </c>
      <c r="J42" s="41">
        <f t="shared" si="1"/>
        <v>0</v>
      </c>
      <c r="K42" s="38">
        <v>58.0</v>
      </c>
      <c r="L42" s="42"/>
      <c r="M42" s="42"/>
      <c r="N42" s="42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36" t="s">
        <v>109</v>
      </c>
      <c r="B43" s="37" t="s">
        <v>48</v>
      </c>
      <c r="C43" s="38" t="s">
        <v>110</v>
      </c>
      <c r="D43" s="37" t="s">
        <v>102</v>
      </c>
      <c r="E43" s="39">
        <v>46148.0</v>
      </c>
      <c r="F43" s="39">
        <v>46154.0</v>
      </c>
      <c r="G43" s="40"/>
      <c r="H43" s="38">
        <v>0.0</v>
      </c>
      <c r="I43" s="38">
        <v>0.0</v>
      </c>
      <c r="J43" s="41">
        <f t="shared" si="1"/>
        <v>0</v>
      </c>
      <c r="K43" s="38">
        <v>58.0</v>
      </c>
      <c r="L43" s="42"/>
      <c r="M43" s="42"/>
      <c r="N43" s="42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6" t="s">
        <v>111</v>
      </c>
      <c r="B44" s="37" t="s">
        <v>48</v>
      </c>
      <c r="C44" s="38" t="s">
        <v>112</v>
      </c>
      <c r="D44" s="37" t="s">
        <v>102</v>
      </c>
      <c r="E44" s="39">
        <v>46154.0</v>
      </c>
      <c r="F44" s="39">
        <v>46157.0</v>
      </c>
      <c r="G44" s="40"/>
      <c r="H44" s="38">
        <v>0.0</v>
      </c>
      <c r="I44" s="38">
        <v>0.0</v>
      </c>
      <c r="J44" s="41">
        <f t="shared" si="1"/>
        <v>0</v>
      </c>
      <c r="K44" s="38">
        <v>56.0</v>
      </c>
      <c r="L44" s="42"/>
      <c r="M44" s="42"/>
      <c r="N44" s="42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6" t="s">
        <v>113</v>
      </c>
      <c r="B45" s="37" t="s">
        <v>48</v>
      </c>
      <c r="C45" s="38" t="s">
        <v>114</v>
      </c>
      <c r="D45" s="37" t="s">
        <v>102</v>
      </c>
      <c r="E45" s="39">
        <v>46160.0</v>
      </c>
      <c r="F45" s="39">
        <v>46163.0</v>
      </c>
      <c r="G45" s="40"/>
      <c r="H45" s="38">
        <v>0.0</v>
      </c>
      <c r="I45" s="38">
        <v>0.0</v>
      </c>
      <c r="J45" s="41">
        <f t="shared" si="1"/>
        <v>0</v>
      </c>
      <c r="K45" s="38">
        <v>58.0</v>
      </c>
      <c r="L45" s="42"/>
      <c r="M45" s="42"/>
      <c r="N45" s="42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44" t="s">
        <v>115</v>
      </c>
      <c r="B46" s="19" t="s">
        <v>48</v>
      </c>
      <c r="C46" s="23" t="s">
        <v>116</v>
      </c>
      <c r="D46" s="19" t="s">
        <v>20</v>
      </c>
      <c r="E46" s="21">
        <v>46164.0</v>
      </c>
      <c r="F46" s="21">
        <v>46164.0</v>
      </c>
      <c r="G46" s="22"/>
      <c r="H46" s="23">
        <v>0.0</v>
      </c>
      <c r="I46" s="23">
        <v>0.0</v>
      </c>
      <c r="J46" s="24">
        <f t="shared" si="1"/>
        <v>0</v>
      </c>
      <c r="K46" s="23">
        <v>20.0</v>
      </c>
      <c r="L46" s="18"/>
      <c r="M46" s="18"/>
      <c r="N46" s="1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44" t="s">
        <v>115</v>
      </c>
      <c r="B47" s="17" t="s">
        <v>24</v>
      </c>
      <c r="C47" s="18" t="s">
        <v>117</v>
      </c>
      <c r="D47" s="19" t="s">
        <v>65</v>
      </c>
      <c r="E47" s="21">
        <v>46164.0</v>
      </c>
      <c r="F47" s="21">
        <v>46164.0</v>
      </c>
      <c r="G47" s="22"/>
      <c r="H47" s="18">
        <v>0.0</v>
      </c>
      <c r="I47" s="23">
        <v>0.0</v>
      </c>
      <c r="J47" s="24">
        <f t="shared" si="1"/>
        <v>0</v>
      </c>
      <c r="K47" s="23">
        <f>SUM(K48:K50)</f>
        <v>78</v>
      </c>
      <c r="L47" s="18" t="s">
        <v>16</v>
      </c>
      <c r="M47" s="18">
        <v>0.0</v>
      </c>
      <c r="N47" s="18">
        <v>0.0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6" t="s">
        <v>118</v>
      </c>
      <c r="B48" s="37" t="s">
        <v>24</v>
      </c>
      <c r="C48" s="38" t="s">
        <v>119</v>
      </c>
      <c r="D48" s="37" t="s">
        <v>65</v>
      </c>
      <c r="E48" s="39">
        <v>46164.0</v>
      </c>
      <c r="F48" s="39">
        <v>46168.0</v>
      </c>
      <c r="G48" s="40"/>
      <c r="H48" s="38">
        <v>0.0</v>
      </c>
      <c r="I48" s="38">
        <v>0.0</v>
      </c>
      <c r="J48" s="41">
        <f t="shared" si="1"/>
        <v>0</v>
      </c>
      <c r="K48" s="38">
        <v>24.0</v>
      </c>
      <c r="L48" s="42"/>
      <c r="M48" s="42"/>
      <c r="N48" s="42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36" t="s">
        <v>120</v>
      </c>
      <c r="B49" s="37" t="s">
        <v>24</v>
      </c>
      <c r="C49" s="38" t="s">
        <v>121</v>
      </c>
      <c r="D49" s="37" t="s">
        <v>65</v>
      </c>
      <c r="E49" s="39">
        <v>46168.0</v>
      </c>
      <c r="F49" s="39">
        <v>46171.0</v>
      </c>
      <c r="G49" s="40"/>
      <c r="H49" s="38">
        <v>0.0</v>
      </c>
      <c r="I49" s="38">
        <v>0.0</v>
      </c>
      <c r="J49" s="41">
        <f t="shared" si="1"/>
        <v>0</v>
      </c>
      <c r="K49" s="38">
        <v>24.0</v>
      </c>
      <c r="L49" s="42"/>
      <c r="M49" s="42"/>
      <c r="N49" s="42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6" t="s">
        <v>122</v>
      </c>
      <c r="B50" s="37" t="s">
        <v>48</v>
      </c>
      <c r="C50" s="38" t="s">
        <v>123</v>
      </c>
      <c r="D50" s="37" t="s">
        <v>65</v>
      </c>
      <c r="E50" s="39">
        <v>46174.0</v>
      </c>
      <c r="F50" s="39">
        <v>46177.0</v>
      </c>
      <c r="G50" s="40"/>
      <c r="H50" s="38">
        <v>0.0</v>
      </c>
      <c r="I50" s="38">
        <v>0.0</v>
      </c>
      <c r="J50" s="41">
        <f t="shared" si="1"/>
        <v>0</v>
      </c>
      <c r="K50" s="38">
        <v>30.0</v>
      </c>
      <c r="L50" s="42"/>
      <c r="M50" s="42"/>
      <c r="N50" s="42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45" t="s">
        <v>124</v>
      </c>
      <c r="B51" s="26" t="s">
        <v>48</v>
      </c>
      <c r="C51" s="27" t="s">
        <v>125</v>
      </c>
      <c r="D51" s="33"/>
      <c r="E51" s="28">
        <v>46177.0</v>
      </c>
      <c r="F51" s="28">
        <v>46177.0</v>
      </c>
      <c r="G51" s="29"/>
      <c r="H51" s="27">
        <v>0.0</v>
      </c>
      <c r="I51" s="27">
        <v>0.0</v>
      </c>
      <c r="J51" s="30">
        <f t="shared" si="1"/>
        <v>0</v>
      </c>
      <c r="K51" s="27">
        <v>0.0</v>
      </c>
      <c r="L51" s="31"/>
      <c r="M51" s="31"/>
      <c r="N51" s="31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 t="s">
        <v>126</v>
      </c>
      <c r="B52" s="9" t="s">
        <v>127</v>
      </c>
      <c r="C52" s="10"/>
      <c r="D52" s="11" t="s">
        <v>16</v>
      </c>
      <c r="E52" s="12">
        <v>46164.0</v>
      </c>
      <c r="F52" s="12">
        <v>46178.0</v>
      </c>
      <c r="G52" s="13"/>
      <c r="H52" s="10">
        <v>0.0</v>
      </c>
      <c r="I52" s="14">
        <v>0.0</v>
      </c>
      <c r="J52" s="15">
        <f t="shared" si="1"/>
        <v>0</v>
      </c>
      <c r="K52" s="14">
        <f>SUM(K53:K58)</f>
        <v>210</v>
      </c>
      <c r="L52" s="10" t="s">
        <v>16</v>
      </c>
      <c r="M52" s="10">
        <v>0.0</v>
      </c>
      <c r="N52" s="10">
        <v>0.0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6" t="s">
        <v>128</v>
      </c>
      <c r="B53" s="17" t="s">
        <v>129</v>
      </c>
      <c r="C53" s="18" t="s">
        <v>130</v>
      </c>
      <c r="D53" s="19" t="s">
        <v>131</v>
      </c>
      <c r="E53" s="21">
        <v>46164.0</v>
      </c>
      <c r="F53" s="21">
        <v>46167.0</v>
      </c>
      <c r="G53" s="22"/>
      <c r="H53" s="18">
        <v>0.0</v>
      </c>
      <c r="I53" s="23">
        <v>0.0</v>
      </c>
      <c r="J53" s="24">
        <f t="shared" si="1"/>
        <v>0</v>
      </c>
      <c r="K53" s="23">
        <v>30.0</v>
      </c>
      <c r="L53" s="18" t="s">
        <v>16</v>
      </c>
      <c r="M53" s="18">
        <v>0.0</v>
      </c>
      <c r="N53" s="18">
        <v>0.0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6" t="s">
        <v>132</v>
      </c>
      <c r="B54" s="17" t="s">
        <v>129</v>
      </c>
      <c r="C54" s="18" t="s">
        <v>133</v>
      </c>
      <c r="D54" s="19" t="s">
        <v>131</v>
      </c>
      <c r="E54" s="21">
        <v>46167.0</v>
      </c>
      <c r="F54" s="21">
        <v>46170.0</v>
      </c>
      <c r="G54" s="22"/>
      <c r="H54" s="18">
        <v>0.0</v>
      </c>
      <c r="I54" s="23">
        <v>0.0</v>
      </c>
      <c r="J54" s="24">
        <f t="shared" si="1"/>
        <v>0</v>
      </c>
      <c r="K54" s="23">
        <v>60.0</v>
      </c>
      <c r="L54" s="18" t="s">
        <v>16</v>
      </c>
      <c r="M54" s="18">
        <v>0.0</v>
      </c>
      <c r="N54" s="18">
        <v>0.0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6" t="s">
        <v>134</v>
      </c>
      <c r="B55" s="17" t="s">
        <v>129</v>
      </c>
      <c r="C55" s="18" t="s">
        <v>135</v>
      </c>
      <c r="D55" s="19" t="s">
        <v>131</v>
      </c>
      <c r="E55" s="21">
        <v>46171.0</v>
      </c>
      <c r="F55" s="21">
        <v>46174.0</v>
      </c>
      <c r="G55" s="22"/>
      <c r="H55" s="18">
        <v>0.0</v>
      </c>
      <c r="I55" s="23">
        <v>0.0</v>
      </c>
      <c r="J55" s="24">
        <f t="shared" si="1"/>
        <v>0</v>
      </c>
      <c r="K55" s="23">
        <v>30.0</v>
      </c>
      <c r="L55" s="18" t="s">
        <v>16</v>
      </c>
      <c r="M55" s="18">
        <v>0.0</v>
      </c>
      <c r="N55" s="18">
        <v>0.0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6" t="s">
        <v>136</v>
      </c>
      <c r="B56" s="17" t="s">
        <v>129</v>
      </c>
      <c r="C56" s="18" t="s">
        <v>137</v>
      </c>
      <c r="D56" s="19" t="s">
        <v>131</v>
      </c>
      <c r="E56" s="21">
        <v>46174.0</v>
      </c>
      <c r="F56" s="21">
        <v>46175.0</v>
      </c>
      <c r="G56" s="22"/>
      <c r="H56" s="18">
        <v>0.0</v>
      </c>
      <c r="I56" s="23">
        <v>0.0</v>
      </c>
      <c r="J56" s="24">
        <f t="shared" si="1"/>
        <v>0</v>
      </c>
      <c r="K56" s="23">
        <v>30.0</v>
      </c>
      <c r="L56" s="18" t="s">
        <v>16</v>
      </c>
      <c r="M56" s="18">
        <v>0.0</v>
      </c>
      <c r="N56" s="18">
        <v>0.0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6" t="s">
        <v>138</v>
      </c>
      <c r="B57" s="17" t="s">
        <v>129</v>
      </c>
      <c r="C57" s="18" t="s">
        <v>139</v>
      </c>
      <c r="D57" s="19" t="s">
        <v>131</v>
      </c>
      <c r="E57" s="21">
        <v>46176.0</v>
      </c>
      <c r="F57" s="21">
        <v>46177.0</v>
      </c>
      <c r="G57" s="22"/>
      <c r="H57" s="18">
        <v>0.0</v>
      </c>
      <c r="I57" s="23">
        <v>0.0</v>
      </c>
      <c r="J57" s="24">
        <f t="shared" si="1"/>
        <v>0</v>
      </c>
      <c r="K57" s="23">
        <v>30.0</v>
      </c>
      <c r="L57" s="18" t="s">
        <v>16</v>
      </c>
      <c r="M57" s="18">
        <v>0.0</v>
      </c>
      <c r="N57" s="18">
        <v>0.0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6" t="s">
        <v>140</v>
      </c>
      <c r="B58" s="17" t="s">
        <v>129</v>
      </c>
      <c r="C58" s="18" t="s">
        <v>141</v>
      </c>
      <c r="D58" s="19" t="s">
        <v>131</v>
      </c>
      <c r="E58" s="21">
        <v>46177.0</v>
      </c>
      <c r="F58" s="21">
        <v>46178.0</v>
      </c>
      <c r="G58" s="22"/>
      <c r="H58" s="18">
        <v>0.0</v>
      </c>
      <c r="I58" s="23">
        <v>0.0</v>
      </c>
      <c r="J58" s="24">
        <f t="shared" si="1"/>
        <v>0</v>
      </c>
      <c r="K58" s="23">
        <v>30.0</v>
      </c>
      <c r="L58" s="18" t="s">
        <v>16</v>
      </c>
      <c r="M58" s="18">
        <v>0.0</v>
      </c>
      <c r="N58" s="18">
        <v>0.0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45" t="s">
        <v>142</v>
      </c>
      <c r="B59" s="26" t="s">
        <v>129</v>
      </c>
      <c r="C59" s="27" t="s">
        <v>143</v>
      </c>
      <c r="D59" s="33"/>
      <c r="E59" s="28">
        <v>46178.0</v>
      </c>
      <c r="F59" s="28">
        <v>46178.0</v>
      </c>
      <c r="G59" s="29"/>
      <c r="H59" s="27">
        <v>0.0</v>
      </c>
      <c r="I59" s="27">
        <v>0.0</v>
      </c>
      <c r="J59" s="30">
        <f t="shared" si="1"/>
        <v>0</v>
      </c>
      <c r="K59" s="27">
        <v>0.0</v>
      </c>
      <c r="L59" s="31"/>
      <c r="M59" s="31"/>
      <c r="N59" s="31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 t="s">
        <v>144</v>
      </c>
      <c r="B60" s="9" t="s">
        <v>145</v>
      </c>
      <c r="C60" s="10"/>
      <c r="D60" s="11" t="s">
        <v>16</v>
      </c>
      <c r="E60" s="12">
        <v>46181.0</v>
      </c>
      <c r="F60" s="12">
        <v>46181.0</v>
      </c>
      <c r="G60" s="13"/>
      <c r="H60" s="10">
        <v>0.0</v>
      </c>
      <c r="I60" s="14">
        <v>0.0</v>
      </c>
      <c r="J60" s="15">
        <f t="shared" si="1"/>
        <v>0</v>
      </c>
      <c r="K60" s="14">
        <f>SUM(K61:K63)</f>
        <v>151</v>
      </c>
      <c r="L60" s="10" t="s">
        <v>16</v>
      </c>
      <c r="M60" s="10">
        <v>0.0</v>
      </c>
      <c r="N60" s="10">
        <v>0.0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6" t="s">
        <v>146</v>
      </c>
      <c r="B61" s="17" t="s">
        <v>147</v>
      </c>
      <c r="C61" s="18" t="s">
        <v>147</v>
      </c>
      <c r="D61" s="19" t="s">
        <v>20</v>
      </c>
      <c r="E61" s="21">
        <v>46181.0</v>
      </c>
      <c r="F61" s="21">
        <v>46183.0</v>
      </c>
      <c r="G61" s="22"/>
      <c r="H61" s="18">
        <v>0.0</v>
      </c>
      <c r="I61" s="23">
        <v>0.0</v>
      </c>
      <c r="J61" s="24">
        <f t="shared" si="1"/>
        <v>0</v>
      </c>
      <c r="K61" s="23">
        <v>61.0</v>
      </c>
      <c r="L61" s="18" t="s">
        <v>16</v>
      </c>
      <c r="M61" s="18">
        <v>0.0</v>
      </c>
      <c r="N61" s="18">
        <v>0.0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6" t="s">
        <v>148</v>
      </c>
      <c r="B62" s="17" t="s">
        <v>147</v>
      </c>
      <c r="C62" s="18" t="s">
        <v>149</v>
      </c>
      <c r="D62" s="19" t="s">
        <v>20</v>
      </c>
      <c r="E62" s="21">
        <v>46183.0</v>
      </c>
      <c r="F62" s="21">
        <v>46184.0</v>
      </c>
      <c r="G62" s="22"/>
      <c r="H62" s="18">
        <v>0.0</v>
      </c>
      <c r="I62" s="23">
        <v>0.0</v>
      </c>
      <c r="J62" s="24">
        <f t="shared" si="1"/>
        <v>0</v>
      </c>
      <c r="K62" s="23">
        <v>60.0</v>
      </c>
      <c r="L62" s="18" t="s">
        <v>16</v>
      </c>
      <c r="M62" s="18">
        <v>0.0</v>
      </c>
      <c r="N62" s="18">
        <v>0.0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6" t="s">
        <v>150</v>
      </c>
      <c r="B63" s="17" t="s">
        <v>147</v>
      </c>
      <c r="C63" s="18" t="s">
        <v>151</v>
      </c>
      <c r="D63" s="19" t="s">
        <v>20</v>
      </c>
      <c r="E63" s="21">
        <v>46185.0</v>
      </c>
      <c r="F63" s="21">
        <v>46188.0</v>
      </c>
      <c r="G63" s="22"/>
      <c r="H63" s="18">
        <v>0.0</v>
      </c>
      <c r="I63" s="23">
        <v>0.0</v>
      </c>
      <c r="J63" s="24">
        <f t="shared" si="1"/>
        <v>0</v>
      </c>
      <c r="K63" s="23">
        <v>30.0</v>
      </c>
      <c r="L63" s="18" t="s">
        <v>16</v>
      </c>
      <c r="M63" s="18">
        <v>0.0</v>
      </c>
      <c r="N63" s="18">
        <v>0.0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5" t="s">
        <v>152</v>
      </c>
      <c r="B64" s="26" t="s">
        <v>153</v>
      </c>
      <c r="C64" s="27" t="s">
        <v>154</v>
      </c>
      <c r="D64" s="33"/>
      <c r="E64" s="28">
        <v>46188.0</v>
      </c>
      <c r="F64" s="28">
        <v>46188.0</v>
      </c>
      <c r="G64" s="29"/>
      <c r="H64" s="27">
        <v>0.0</v>
      </c>
      <c r="I64" s="27">
        <v>0.0</v>
      </c>
      <c r="J64" s="30">
        <f t="shared" si="1"/>
        <v>0</v>
      </c>
      <c r="K64" s="27">
        <v>0.0</v>
      </c>
      <c r="L64" s="31"/>
      <c r="M64" s="31"/>
      <c r="N64" s="31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 t="s">
        <v>155</v>
      </c>
      <c r="B65" s="9" t="s">
        <v>156</v>
      </c>
      <c r="C65" s="10"/>
      <c r="D65" s="11" t="s">
        <v>16</v>
      </c>
      <c r="E65" s="12">
        <v>46189.0</v>
      </c>
      <c r="F65" s="12">
        <v>46189.0</v>
      </c>
      <c r="G65" s="13"/>
      <c r="H65" s="10">
        <v>0.0</v>
      </c>
      <c r="I65" s="14">
        <v>0.0</v>
      </c>
      <c r="J65" s="15">
        <f t="shared" si="1"/>
        <v>0</v>
      </c>
      <c r="K65" s="14">
        <v>10.0</v>
      </c>
      <c r="L65" s="10" t="s">
        <v>16</v>
      </c>
      <c r="M65" s="10">
        <v>0.0</v>
      </c>
      <c r="N65" s="10">
        <v>0.0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6" t="s">
        <v>157</v>
      </c>
      <c r="B66" s="17" t="s">
        <v>147</v>
      </c>
      <c r="C66" s="18" t="s">
        <v>158</v>
      </c>
      <c r="D66" s="19" t="s">
        <v>20</v>
      </c>
      <c r="E66" s="21">
        <v>46189.0</v>
      </c>
      <c r="F66" s="21">
        <v>46189.0</v>
      </c>
      <c r="G66" s="22"/>
      <c r="H66" s="18">
        <v>0.0</v>
      </c>
      <c r="I66" s="23">
        <v>0.0</v>
      </c>
      <c r="J66" s="24">
        <f t="shared" si="1"/>
        <v>0</v>
      </c>
      <c r="K66" s="23">
        <v>10.0</v>
      </c>
      <c r="L66" s="18" t="s">
        <v>16</v>
      </c>
      <c r="M66" s="18">
        <v>0.0</v>
      </c>
      <c r="N66" s="18">
        <v>0.0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 t="s">
        <v>159</v>
      </c>
      <c r="B67" s="9" t="s">
        <v>160</v>
      </c>
      <c r="C67" s="10"/>
      <c r="D67" s="11" t="s">
        <v>16</v>
      </c>
      <c r="E67" s="12">
        <v>46190.0</v>
      </c>
      <c r="F67" s="12">
        <v>46190.0</v>
      </c>
      <c r="G67" s="13"/>
      <c r="H67" s="10">
        <v>0.0</v>
      </c>
      <c r="I67" s="14">
        <v>0.0</v>
      </c>
      <c r="J67" s="15">
        <f t="shared" si="1"/>
        <v>0</v>
      </c>
      <c r="K67" s="14">
        <v>10.0</v>
      </c>
      <c r="L67" s="10" t="s">
        <v>16</v>
      </c>
      <c r="M67" s="10">
        <v>0.0</v>
      </c>
      <c r="N67" s="10">
        <v>0.0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6" t="s">
        <v>161</v>
      </c>
      <c r="B68" s="17" t="s">
        <v>147</v>
      </c>
      <c r="C68" s="18" t="s">
        <v>162</v>
      </c>
      <c r="D68" s="19" t="s">
        <v>20</v>
      </c>
      <c r="E68" s="21">
        <v>46190.0</v>
      </c>
      <c r="F68" s="21">
        <v>46190.0</v>
      </c>
      <c r="G68" s="22"/>
      <c r="H68" s="18">
        <v>0.0</v>
      </c>
      <c r="I68" s="23">
        <v>0.0</v>
      </c>
      <c r="J68" s="24">
        <f t="shared" si="1"/>
        <v>0</v>
      </c>
      <c r="K68" s="23">
        <v>10.0</v>
      </c>
      <c r="L68" s="18" t="s">
        <v>16</v>
      </c>
      <c r="M68" s="18">
        <v>0.0</v>
      </c>
      <c r="N68" s="18">
        <v>0.0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5" t="s">
        <v>163</v>
      </c>
      <c r="B69" s="26" t="s">
        <v>147</v>
      </c>
      <c r="C69" s="27" t="s">
        <v>164</v>
      </c>
      <c r="D69" s="26"/>
      <c r="E69" s="28">
        <v>46190.0</v>
      </c>
      <c r="F69" s="28">
        <v>46190.0</v>
      </c>
      <c r="G69" s="29"/>
      <c r="H69" s="27">
        <v>0.0</v>
      </c>
      <c r="I69" s="27">
        <v>0.0</v>
      </c>
      <c r="J69" s="46">
        <v>0.0</v>
      </c>
      <c r="K69" s="27">
        <v>0.0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47"/>
      <c r="B70" s="48"/>
      <c r="D70" s="48"/>
      <c r="E70" s="49"/>
      <c r="F70" s="49"/>
      <c r="J70" s="50" t="s">
        <v>165</v>
      </c>
      <c r="K70" s="51">
        <f>SUM(K67,K65,K60,K52,K22,K11,K7,K2)</f>
        <v>1527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7"/>
      <c r="B71" s="48"/>
      <c r="D71" s="48"/>
      <c r="E71" s="49"/>
      <c r="F71" s="49"/>
      <c r="J71" s="50" t="s">
        <v>166</v>
      </c>
      <c r="K71" s="50">
        <f>1527 - K70</f>
        <v>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7"/>
      <c r="B72" s="48"/>
      <c r="D72" s="48"/>
      <c r="E72" s="49"/>
      <c r="F72" s="49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7"/>
      <c r="B73" s="48"/>
      <c r="D73" s="48"/>
      <c r="E73" s="49"/>
      <c r="F73" s="49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7"/>
      <c r="B74" s="48"/>
      <c r="D74" s="48"/>
      <c r="E74" s="49"/>
      <c r="F74" s="49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7"/>
      <c r="B75" s="48"/>
      <c r="D75" s="48"/>
      <c r="E75" s="49"/>
      <c r="F75" s="49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7"/>
      <c r="B76" s="48"/>
      <c r="D76" s="48"/>
      <c r="E76" s="49"/>
      <c r="F76" s="49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7"/>
      <c r="B77" s="48"/>
      <c r="D77" s="48"/>
      <c r="E77" s="49"/>
      <c r="F77" s="49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7"/>
      <c r="B78" s="48"/>
      <c r="D78" s="48"/>
      <c r="E78" s="49"/>
      <c r="F78" s="49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7"/>
      <c r="B79" s="48"/>
      <c r="D79" s="48"/>
      <c r="E79" s="49"/>
      <c r="F79" s="49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7"/>
      <c r="B80" s="48"/>
      <c r="D80" s="48"/>
      <c r="E80" s="49"/>
      <c r="F80" s="49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7"/>
      <c r="B81" s="48"/>
      <c r="D81" s="48"/>
      <c r="E81" s="49"/>
      <c r="F81" s="49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7"/>
      <c r="B82" s="48"/>
      <c r="D82" s="48"/>
      <c r="E82" s="49"/>
      <c r="F82" s="49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7"/>
      <c r="B83" s="48"/>
      <c r="D83" s="48"/>
      <c r="E83" s="49"/>
      <c r="F83" s="49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7"/>
      <c r="B84" s="48"/>
      <c r="D84" s="48"/>
      <c r="E84" s="49"/>
      <c r="F84" s="49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7"/>
      <c r="B85" s="48"/>
      <c r="D85" s="48"/>
      <c r="E85" s="49"/>
      <c r="F85" s="49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7"/>
      <c r="B86" s="48"/>
      <c r="D86" s="48"/>
      <c r="E86" s="49"/>
      <c r="F86" s="49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7"/>
      <c r="B87" s="48"/>
      <c r="D87" s="48"/>
      <c r="E87" s="49"/>
      <c r="F87" s="49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7"/>
      <c r="B88" s="48"/>
      <c r="D88" s="48"/>
      <c r="E88" s="49"/>
      <c r="F88" s="49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7"/>
      <c r="B89" s="48"/>
      <c r="D89" s="48"/>
      <c r="E89" s="49"/>
      <c r="F89" s="49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7"/>
      <c r="B90" s="48"/>
      <c r="D90" s="48"/>
      <c r="E90" s="49"/>
      <c r="F90" s="49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7"/>
      <c r="B91" s="48"/>
      <c r="D91" s="48"/>
      <c r="E91" s="49"/>
      <c r="F91" s="49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7"/>
      <c r="B92" s="48"/>
      <c r="D92" s="48"/>
      <c r="E92" s="49"/>
      <c r="F92" s="49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7"/>
      <c r="B93" s="48"/>
      <c r="D93" s="48"/>
      <c r="E93" s="49"/>
      <c r="F93" s="49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7"/>
      <c r="B94" s="48"/>
      <c r="D94" s="48"/>
      <c r="E94" s="49"/>
      <c r="F94" s="49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7"/>
      <c r="B95" s="48"/>
      <c r="D95" s="48"/>
      <c r="E95" s="49"/>
      <c r="F95" s="49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7"/>
      <c r="B96" s="48"/>
      <c r="D96" s="48"/>
      <c r="E96" s="49"/>
      <c r="F96" s="49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7"/>
      <c r="B97" s="48"/>
      <c r="D97" s="48"/>
      <c r="E97" s="49"/>
      <c r="F97" s="49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7"/>
      <c r="B98" s="48"/>
      <c r="D98" s="48"/>
      <c r="E98" s="49"/>
      <c r="F98" s="49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7"/>
      <c r="B99" s="48"/>
      <c r="D99" s="48"/>
      <c r="E99" s="49"/>
      <c r="F99" s="49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7"/>
      <c r="B100" s="48"/>
      <c r="D100" s="48"/>
      <c r="E100" s="49"/>
      <c r="F100" s="49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7"/>
      <c r="B101" s="48"/>
      <c r="D101" s="48"/>
      <c r="E101" s="49"/>
      <c r="F101" s="49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7"/>
      <c r="B102" s="48"/>
      <c r="D102" s="48"/>
      <c r="E102" s="49"/>
      <c r="F102" s="49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7"/>
      <c r="B103" s="48"/>
      <c r="D103" s="48"/>
      <c r="E103" s="49"/>
      <c r="F103" s="49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7"/>
      <c r="B104" s="48"/>
      <c r="D104" s="48"/>
      <c r="E104" s="49"/>
      <c r="F104" s="49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7"/>
      <c r="B105" s="48"/>
      <c r="D105" s="48"/>
      <c r="E105" s="49"/>
      <c r="F105" s="49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7"/>
      <c r="B106" s="48"/>
      <c r="D106" s="48"/>
      <c r="E106" s="49"/>
      <c r="F106" s="49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7"/>
      <c r="B107" s="48"/>
      <c r="D107" s="48"/>
      <c r="E107" s="49"/>
      <c r="F107" s="49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7"/>
      <c r="B108" s="48"/>
      <c r="D108" s="48"/>
      <c r="E108" s="49"/>
      <c r="F108" s="49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7"/>
      <c r="B109" s="48"/>
      <c r="D109" s="48"/>
      <c r="E109" s="49"/>
      <c r="F109" s="49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7"/>
      <c r="B110" s="48"/>
      <c r="D110" s="48"/>
      <c r="E110" s="49"/>
      <c r="F110" s="49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7"/>
      <c r="B111" s="48"/>
      <c r="D111" s="48"/>
      <c r="E111" s="49"/>
      <c r="F111" s="49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7"/>
      <c r="B112" s="48"/>
      <c r="D112" s="48"/>
      <c r="E112" s="49"/>
      <c r="F112" s="4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7"/>
      <c r="B113" s="48"/>
      <c r="D113" s="48"/>
      <c r="E113" s="49"/>
      <c r="F113" s="49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7"/>
      <c r="B114" s="48"/>
      <c r="D114" s="48"/>
      <c r="E114" s="49"/>
      <c r="F114" s="49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7"/>
      <c r="B115" s="48"/>
      <c r="D115" s="48"/>
      <c r="E115" s="49"/>
      <c r="F115" s="49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7"/>
      <c r="B116" s="48"/>
      <c r="D116" s="48"/>
      <c r="E116" s="49"/>
      <c r="F116" s="49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7"/>
      <c r="B117" s="48"/>
      <c r="D117" s="48"/>
      <c r="E117" s="49"/>
      <c r="F117" s="49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7"/>
      <c r="B118" s="48"/>
      <c r="D118" s="48"/>
      <c r="E118" s="49"/>
      <c r="F118" s="49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7"/>
      <c r="B119" s="48"/>
      <c r="D119" s="48"/>
      <c r="E119" s="49"/>
      <c r="F119" s="49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7"/>
      <c r="B120" s="48"/>
      <c r="D120" s="48"/>
      <c r="E120" s="49"/>
      <c r="F120" s="4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7"/>
      <c r="B121" s="48"/>
      <c r="D121" s="48"/>
      <c r="E121" s="49"/>
      <c r="F121" s="49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7"/>
      <c r="B122" s="48"/>
      <c r="D122" s="48"/>
      <c r="E122" s="49"/>
      <c r="F122" s="49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7"/>
      <c r="B123" s="48"/>
      <c r="D123" s="48"/>
      <c r="E123" s="49"/>
      <c r="F123" s="49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7"/>
      <c r="B124" s="48"/>
      <c r="D124" s="48"/>
      <c r="E124" s="49"/>
      <c r="F124" s="49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7"/>
      <c r="B125" s="48"/>
      <c r="D125" s="48"/>
      <c r="E125" s="49"/>
      <c r="F125" s="49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7"/>
      <c r="B126" s="48"/>
      <c r="D126" s="48"/>
      <c r="E126" s="49"/>
      <c r="F126" s="49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7"/>
      <c r="B127" s="48"/>
      <c r="D127" s="48"/>
      <c r="E127" s="49"/>
      <c r="F127" s="49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7"/>
      <c r="B128" s="48"/>
      <c r="D128" s="48"/>
      <c r="E128" s="49"/>
      <c r="F128" s="49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7"/>
      <c r="B129" s="48"/>
      <c r="D129" s="48"/>
      <c r="E129" s="49"/>
      <c r="F129" s="49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7"/>
      <c r="B130" s="48"/>
      <c r="D130" s="48"/>
      <c r="E130" s="49"/>
      <c r="F130" s="49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7"/>
      <c r="B131" s="48"/>
      <c r="D131" s="48"/>
      <c r="E131" s="49"/>
      <c r="F131" s="49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7"/>
      <c r="B132" s="48"/>
      <c r="D132" s="48"/>
      <c r="E132" s="49"/>
      <c r="F132" s="49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7"/>
      <c r="B133" s="48"/>
      <c r="D133" s="48"/>
      <c r="E133" s="49"/>
      <c r="F133" s="49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7"/>
      <c r="B134" s="48"/>
      <c r="D134" s="48"/>
      <c r="E134" s="49"/>
      <c r="F134" s="49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7"/>
      <c r="B135" s="48"/>
      <c r="D135" s="48"/>
      <c r="E135" s="49"/>
      <c r="F135" s="49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7"/>
      <c r="B136" s="48"/>
      <c r="D136" s="48"/>
      <c r="E136" s="49"/>
      <c r="F136" s="49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7"/>
      <c r="B137" s="48"/>
      <c r="D137" s="48"/>
      <c r="E137" s="49"/>
      <c r="F137" s="49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7"/>
      <c r="B138" s="48"/>
      <c r="D138" s="48"/>
      <c r="E138" s="49"/>
      <c r="F138" s="49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7"/>
      <c r="B139" s="48"/>
      <c r="D139" s="48"/>
      <c r="E139" s="49"/>
      <c r="F139" s="49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7"/>
      <c r="B140" s="48"/>
      <c r="D140" s="48"/>
      <c r="E140" s="49"/>
      <c r="F140" s="49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7"/>
      <c r="B141" s="48"/>
      <c r="D141" s="48"/>
      <c r="E141" s="49"/>
      <c r="F141" s="49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7"/>
      <c r="B142" s="48"/>
      <c r="D142" s="48"/>
      <c r="E142" s="49"/>
      <c r="F142" s="49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7"/>
      <c r="B143" s="48"/>
      <c r="D143" s="48"/>
      <c r="E143" s="49"/>
      <c r="F143" s="49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7"/>
      <c r="B144" s="48"/>
      <c r="D144" s="48"/>
      <c r="E144" s="49"/>
      <c r="F144" s="49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7"/>
      <c r="B145" s="48"/>
      <c r="D145" s="48"/>
      <c r="E145" s="49"/>
      <c r="F145" s="49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7"/>
      <c r="B146" s="48"/>
      <c r="D146" s="48"/>
      <c r="E146" s="49"/>
      <c r="F146" s="49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7"/>
      <c r="B147" s="48"/>
      <c r="D147" s="48"/>
      <c r="E147" s="49"/>
      <c r="F147" s="49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7"/>
      <c r="B148" s="48"/>
      <c r="D148" s="48"/>
      <c r="E148" s="49"/>
      <c r="F148" s="49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7"/>
      <c r="B149" s="48"/>
      <c r="D149" s="48"/>
      <c r="E149" s="49"/>
      <c r="F149" s="49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7"/>
      <c r="B150" s="48"/>
      <c r="D150" s="48"/>
      <c r="E150" s="49"/>
      <c r="F150" s="49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7"/>
      <c r="B151" s="48"/>
      <c r="D151" s="48"/>
      <c r="E151" s="49"/>
      <c r="F151" s="49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7"/>
      <c r="B152" s="48"/>
      <c r="D152" s="48"/>
      <c r="E152" s="49"/>
      <c r="F152" s="49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7"/>
      <c r="B153" s="48"/>
      <c r="D153" s="48"/>
      <c r="E153" s="49"/>
      <c r="F153" s="49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7"/>
      <c r="B154" s="48"/>
      <c r="D154" s="48"/>
      <c r="E154" s="49"/>
      <c r="F154" s="49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7"/>
      <c r="B155" s="48"/>
      <c r="D155" s="48"/>
      <c r="E155" s="49"/>
      <c r="F155" s="49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7"/>
      <c r="B156" s="48"/>
      <c r="D156" s="48"/>
      <c r="E156" s="49"/>
      <c r="F156" s="49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7"/>
      <c r="B157" s="48"/>
      <c r="D157" s="48"/>
      <c r="E157" s="49"/>
      <c r="F157" s="49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7"/>
      <c r="B158" s="48"/>
      <c r="D158" s="48"/>
      <c r="E158" s="49"/>
      <c r="F158" s="49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7"/>
      <c r="B159" s="48"/>
      <c r="D159" s="48"/>
      <c r="E159" s="49"/>
      <c r="F159" s="49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7"/>
      <c r="B160" s="48"/>
      <c r="D160" s="48"/>
      <c r="E160" s="49"/>
      <c r="F160" s="49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7"/>
      <c r="B161" s="48"/>
      <c r="D161" s="48"/>
      <c r="E161" s="49"/>
      <c r="F161" s="49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7"/>
      <c r="B162" s="48"/>
      <c r="D162" s="48"/>
      <c r="E162" s="49"/>
      <c r="F162" s="49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7"/>
      <c r="B163" s="48"/>
      <c r="D163" s="48"/>
      <c r="E163" s="49"/>
      <c r="F163" s="49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7"/>
      <c r="B164" s="48"/>
      <c r="D164" s="48"/>
      <c r="E164" s="49"/>
      <c r="F164" s="49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7"/>
      <c r="B165" s="48"/>
      <c r="D165" s="48"/>
      <c r="E165" s="49"/>
      <c r="F165" s="49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7"/>
      <c r="B166" s="48"/>
      <c r="D166" s="48"/>
      <c r="E166" s="49"/>
      <c r="F166" s="49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7"/>
      <c r="B167" s="48"/>
      <c r="D167" s="48"/>
      <c r="E167" s="49"/>
      <c r="F167" s="49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7"/>
      <c r="B168" s="48"/>
      <c r="D168" s="48"/>
      <c r="E168" s="49"/>
      <c r="F168" s="49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7"/>
      <c r="B169" s="48"/>
      <c r="D169" s="48"/>
      <c r="E169" s="49"/>
      <c r="F169" s="49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7"/>
      <c r="B170" s="48"/>
      <c r="D170" s="48"/>
      <c r="E170" s="49"/>
      <c r="F170" s="49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7"/>
      <c r="B171" s="48"/>
      <c r="D171" s="48"/>
      <c r="E171" s="49"/>
      <c r="F171" s="49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7"/>
      <c r="B172" s="48"/>
      <c r="D172" s="48"/>
      <c r="E172" s="49"/>
      <c r="F172" s="49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7"/>
      <c r="B173" s="48"/>
      <c r="D173" s="48"/>
      <c r="E173" s="49"/>
      <c r="F173" s="49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7"/>
      <c r="B174" s="48"/>
      <c r="D174" s="48"/>
      <c r="E174" s="49"/>
      <c r="F174" s="49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7"/>
      <c r="B175" s="48"/>
      <c r="D175" s="48"/>
      <c r="E175" s="49"/>
      <c r="F175" s="49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7"/>
      <c r="B176" s="48"/>
      <c r="D176" s="48"/>
      <c r="E176" s="49"/>
      <c r="F176" s="49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7"/>
      <c r="B177" s="48"/>
      <c r="D177" s="48"/>
      <c r="E177" s="49"/>
      <c r="F177" s="49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7"/>
      <c r="B178" s="48"/>
      <c r="D178" s="48"/>
      <c r="E178" s="49"/>
      <c r="F178" s="49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7"/>
      <c r="B179" s="48"/>
      <c r="D179" s="48"/>
      <c r="E179" s="49"/>
      <c r="F179" s="49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7"/>
      <c r="B180" s="48"/>
      <c r="D180" s="48"/>
      <c r="E180" s="49"/>
      <c r="F180" s="49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7"/>
      <c r="B181" s="48"/>
      <c r="D181" s="48"/>
      <c r="E181" s="49"/>
      <c r="F181" s="49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7"/>
      <c r="B182" s="48"/>
      <c r="D182" s="48"/>
      <c r="E182" s="49"/>
      <c r="F182" s="49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7"/>
      <c r="B183" s="48"/>
      <c r="D183" s="48"/>
      <c r="E183" s="49"/>
      <c r="F183" s="49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7"/>
      <c r="B184" s="48"/>
      <c r="D184" s="48"/>
      <c r="E184" s="49"/>
      <c r="F184" s="49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7"/>
      <c r="B185" s="48"/>
      <c r="D185" s="48"/>
      <c r="E185" s="49"/>
      <c r="F185" s="49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7"/>
      <c r="B186" s="48"/>
      <c r="D186" s="48"/>
      <c r="E186" s="49"/>
      <c r="F186" s="49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7"/>
      <c r="B187" s="48"/>
      <c r="D187" s="48"/>
      <c r="E187" s="49"/>
      <c r="F187" s="49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7"/>
      <c r="B188" s="48"/>
      <c r="D188" s="48"/>
      <c r="E188" s="49"/>
      <c r="F188" s="49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7"/>
      <c r="B189" s="48"/>
      <c r="D189" s="48"/>
      <c r="E189" s="49"/>
      <c r="F189" s="49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7"/>
      <c r="B190" s="48"/>
      <c r="D190" s="48"/>
      <c r="E190" s="49"/>
      <c r="F190" s="49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7"/>
      <c r="B191" s="48"/>
      <c r="D191" s="48"/>
      <c r="E191" s="49"/>
      <c r="F191" s="49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7"/>
      <c r="B192" s="48"/>
      <c r="D192" s="48"/>
      <c r="E192" s="49"/>
      <c r="F192" s="49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7"/>
      <c r="B193" s="48"/>
      <c r="D193" s="48"/>
      <c r="E193" s="49"/>
      <c r="F193" s="49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7"/>
      <c r="B194" s="48"/>
      <c r="D194" s="48"/>
      <c r="E194" s="49"/>
      <c r="F194" s="49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7"/>
      <c r="B195" s="48"/>
      <c r="D195" s="48"/>
      <c r="E195" s="49"/>
      <c r="F195" s="49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7"/>
      <c r="B196" s="48"/>
      <c r="D196" s="48"/>
      <c r="E196" s="49"/>
      <c r="F196" s="49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7"/>
      <c r="B197" s="48"/>
      <c r="D197" s="48"/>
      <c r="E197" s="49"/>
      <c r="F197" s="49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7"/>
      <c r="B198" s="48"/>
      <c r="D198" s="48"/>
      <c r="E198" s="49"/>
      <c r="F198" s="49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7"/>
      <c r="B199" s="48"/>
      <c r="D199" s="48"/>
      <c r="E199" s="49"/>
      <c r="F199" s="49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7"/>
      <c r="B200" s="48"/>
      <c r="D200" s="48"/>
      <c r="E200" s="49"/>
      <c r="F200" s="49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7"/>
      <c r="B201" s="48"/>
      <c r="D201" s="48"/>
      <c r="E201" s="49"/>
      <c r="F201" s="49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7"/>
      <c r="B202" s="48"/>
      <c r="D202" s="48"/>
      <c r="E202" s="49"/>
      <c r="F202" s="49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7"/>
      <c r="B203" s="48"/>
      <c r="D203" s="48"/>
      <c r="E203" s="49"/>
      <c r="F203" s="49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7"/>
      <c r="B204" s="48"/>
      <c r="D204" s="48"/>
      <c r="E204" s="49"/>
      <c r="F204" s="49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7"/>
      <c r="B205" s="48"/>
      <c r="D205" s="48"/>
      <c r="E205" s="49"/>
      <c r="F205" s="49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7"/>
      <c r="B206" s="48"/>
      <c r="D206" s="48"/>
      <c r="E206" s="49"/>
      <c r="F206" s="49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7"/>
      <c r="B207" s="48"/>
      <c r="D207" s="48"/>
      <c r="E207" s="49"/>
      <c r="F207" s="49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7"/>
      <c r="B208" s="48"/>
      <c r="D208" s="48"/>
      <c r="E208" s="49"/>
      <c r="F208" s="49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7"/>
      <c r="B209" s="48"/>
      <c r="D209" s="48"/>
      <c r="E209" s="49"/>
      <c r="F209" s="49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7"/>
      <c r="B210" s="48"/>
      <c r="D210" s="48"/>
      <c r="E210" s="49"/>
      <c r="F210" s="49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7"/>
      <c r="B211" s="48"/>
      <c r="D211" s="48"/>
      <c r="E211" s="49"/>
      <c r="F211" s="49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7"/>
      <c r="B212" s="48"/>
      <c r="D212" s="48"/>
      <c r="E212" s="49"/>
      <c r="F212" s="49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7"/>
      <c r="B213" s="48"/>
      <c r="D213" s="48"/>
      <c r="E213" s="49"/>
      <c r="F213" s="49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7"/>
      <c r="B214" s="48"/>
      <c r="D214" s="48"/>
      <c r="E214" s="49"/>
      <c r="F214" s="49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7"/>
      <c r="B215" s="48"/>
      <c r="D215" s="48"/>
      <c r="E215" s="49"/>
      <c r="F215" s="49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7"/>
      <c r="B216" s="48"/>
      <c r="D216" s="48"/>
      <c r="E216" s="49"/>
      <c r="F216" s="49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7"/>
      <c r="B217" s="48"/>
      <c r="D217" s="48"/>
      <c r="E217" s="49"/>
      <c r="F217" s="49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7"/>
      <c r="B218" s="48"/>
      <c r="D218" s="48"/>
      <c r="E218" s="49"/>
      <c r="F218" s="49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7"/>
      <c r="B219" s="48"/>
      <c r="D219" s="48"/>
      <c r="E219" s="49"/>
      <c r="F219" s="49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7"/>
      <c r="B220" s="48"/>
      <c r="D220" s="48"/>
      <c r="E220" s="49"/>
      <c r="F220" s="49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7"/>
      <c r="B221" s="48"/>
      <c r="D221" s="48"/>
      <c r="E221" s="49"/>
      <c r="F221" s="49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7"/>
      <c r="B222" s="48"/>
      <c r="D222" s="48"/>
      <c r="E222" s="49"/>
      <c r="F222" s="49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7"/>
      <c r="B223" s="48"/>
      <c r="D223" s="48"/>
      <c r="E223" s="49"/>
      <c r="F223" s="49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7"/>
      <c r="B224" s="48"/>
      <c r="D224" s="48"/>
      <c r="E224" s="49"/>
      <c r="F224" s="49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7"/>
      <c r="B225" s="48"/>
      <c r="D225" s="48"/>
      <c r="E225" s="49"/>
      <c r="F225" s="49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7"/>
      <c r="B226" s="48"/>
      <c r="D226" s="48"/>
      <c r="E226" s="49"/>
      <c r="F226" s="49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7"/>
      <c r="B227" s="48"/>
      <c r="D227" s="48"/>
      <c r="E227" s="49"/>
      <c r="F227" s="49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7"/>
      <c r="B228" s="48"/>
      <c r="D228" s="48"/>
      <c r="E228" s="49"/>
      <c r="F228" s="49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7"/>
      <c r="B229" s="48"/>
      <c r="D229" s="48"/>
      <c r="E229" s="49"/>
      <c r="F229" s="49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7"/>
      <c r="B230" s="48"/>
      <c r="D230" s="48"/>
      <c r="E230" s="49"/>
      <c r="F230" s="49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7"/>
      <c r="B231" s="48"/>
      <c r="D231" s="48"/>
      <c r="E231" s="49"/>
      <c r="F231" s="49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7"/>
      <c r="B232" s="48"/>
      <c r="D232" s="48"/>
      <c r="E232" s="49"/>
      <c r="F232" s="49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7"/>
      <c r="B233" s="48"/>
      <c r="D233" s="48"/>
      <c r="E233" s="49"/>
      <c r="F233" s="49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7"/>
      <c r="B234" s="48"/>
      <c r="D234" s="48"/>
      <c r="E234" s="49"/>
      <c r="F234" s="49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7"/>
      <c r="B235" s="48"/>
      <c r="D235" s="48"/>
      <c r="E235" s="49"/>
      <c r="F235" s="49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7"/>
      <c r="B236" s="48"/>
      <c r="D236" s="48"/>
      <c r="E236" s="49"/>
      <c r="F236" s="49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7"/>
      <c r="B237" s="48"/>
      <c r="D237" s="48"/>
      <c r="E237" s="49"/>
      <c r="F237" s="49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7"/>
      <c r="B238" s="48"/>
      <c r="D238" s="48"/>
      <c r="E238" s="49"/>
      <c r="F238" s="49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7"/>
      <c r="B239" s="48"/>
      <c r="D239" s="48"/>
      <c r="E239" s="49"/>
      <c r="F239" s="49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7"/>
      <c r="B240" s="48"/>
      <c r="D240" s="48"/>
      <c r="E240" s="49"/>
      <c r="F240" s="49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7"/>
      <c r="B241" s="48"/>
      <c r="D241" s="48"/>
      <c r="E241" s="49"/>
      <c r="F241" s="49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7"/>
      <c r="B242" s="48"/>
      <c r="D242" s="48"/>
      <c r="E242" s="49"/>
      <c r="F242" s="49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7"/>
      <c r="B243" s="48"/>
      <c r="D243" s="48"/>
      <c r="E243" s="49"/>
      <c r="F243" s="49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7"/>
      <c r="B244" s="48"/>
      <c r="D244" s="48"/>
      <c r="E244" s="49"/>
      <c r="F244" s="49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7"/>
      <c r="B245" s="48"/>
      <c r="D245" s="48"/>
      <c r="E245" s="49"/>
      <c r="F245" s="49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7"/>
      <c r="B246" s="48"/>
      <c r="D246" s="48"/>
      <c r="E246" s="49"/>
      <c r="F246" s="49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7"/>
      <c r="B247" s="48"/>
      <c r="D247" s="48"/>
      <c r="E247" s="49"/>
      <c r="F247" s="49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7"/>
      <c r="B248" s="48"/>
      <c r="D248" s="48"/>
      <c r="E248" s="49"/>
      <c r="F248" s="49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7"/>
      <c r="B249" s="48"/>
      <c r="D249" s="48"/>
      <c r="E249" s="49"/>
      <c r="F249" s="49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7"/>
      <c r="B250" s="48"/>
      <c r="D250" s="48"/>
      <c r="E250" s="49"/>
      <c r="F250" s="49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7"/>
      <c r="B251" s="48"/>
      <c r="D251" s="48"/>
      <c r="E251" s="49"/>
      <c r="F251" s="49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7"/>
      <c r="B252" s="48"/>
      <c r="D252" s="48"/>
      <c r="E252" s="49"/>
      <c r="F252" s="49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7"/>
      <c r="B253" s="48"/>
      <c r="D253" s="48"/>
      <c r="E253" s="49"/>
      <c r="F253" s="49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7"/>
      <c r="B254" s="48"/>
      <c r="D254" s="48"/>
      <c r="E254" s="49"/>
      <c r="F254" s="49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7"/>
      <c r="B255" s="48"/>
      <c r="D255" s="48"/>
      <c r="E255" s="49"/>
      <c r="F255" s="49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7"/>
      <c r="B256" s="48"/>
      <c r="D256" s="48"/>
      <c r="E256" s="49"/>
      <c r="F256" s="49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7"/>
      <c r="B257" s="48"/>
      <c r="D257" s="48"/>
      <c r="E257" s="49"/>
      <c r="F257" s="49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7"/>
      <c r="B258" s="48"/>
      <c r="D258" s="48"/>
      <c r="E258" s="49"/>
      <c r="F258" s="49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7"/>
      <c r="B259" s="48"/>
      <c r="D259" s="48"/>
      <c r="E259" s="49"/>
      <c r="F259" s="49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7"/>
      <c r="B260" s="48"/>
      <c r="D260" s="48"/>
      <c r="E260" s="49"/>
      <c r="F260" s="49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7"/>
      <c r="B261" s="48"/>
      <c r="D261" s="48"/>
      <c r="E261" s="49"/>
      <c r="F261" s="49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7"/>
      <c r="B262" s="48"/>
      <c r="D262" s="48"/>
      <c r="E262" s="49"/>
      <c r="F262" s="49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7"/>
      <c r="B263" s="48"/>
      <c r="D263" s="48"/>
      <c r="E263" s="49"/>
      <c r="F263" s="49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7"/>
      <c r="B264" s="48"/>
      <c r="D264" s="48"/>
      <c r="E264" s="49"/>
      <c r="F264" s="49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7"/>
      <c r="B265" s="48"/>
      <c r="D265" s="48"/>
      <c r="E265" s="49"/>
      <c r="F265" s="49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7"/>
      <c r="B266" s="48"/>
      <c r="D266" s="48"/>
      <c r="E266" s="49"/>
      <c r="F266" s="49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7"/>
      <c r="B267" s="48"/>
      <c r="D267" s="48"/>
      <c r="E267" s="49"/>
      <c r="F267" s="49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7"/>
      <c r="B268" s="48"/>
      <c r="D268" s="48"/>
      <c r="E268" s="49"/>
      <c r="F268" s="49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7"/>
      <c r="B269" s="48"/>
      <c r="D269" s="48"/>
      <c r="E269" s="49"/>
      <c r="F269" s="49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7"/>
      <c r="B270" s="48"/>
      <c r="D270" s="48"/>
      <c r="E270" s="49"/>
      <c r="F270" s="49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7"/>
      <c r="B271" s="48"/>
      <c r="D271" s="48"/>
      <c r="E271" s="49"/>
      <c r="F271" s="49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7"/>
      <c r="B272" s="48"/>
      <c r="D272" s="48"/>
      <c r="E272" s="49"/>
      <c r="F272" s="49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7"/>
      <c r="B273" s="48"/>
      <c r="D273" s="48"/>
      <c r="E273" s="49"/>
      <c r="F273" s="49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7"/>
      <c r="B274" s="48"/>
      <c r="D274" s="48"/>
      <c r="E274" s="49"/>
      <c r="F274" s="49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7"/>
      <c r="B275" s="48"/>
      <c r="D275" s="48"/>
      <c r="E275" s="49"/>
      <c r="F275" s="49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7"/>
      <c r="B276" s="48"/>
      <c r="D276" s="48"/>
      <c r="E276" s="49"/>
      <c r="F276" s="49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7"/>
      <c r="B277" s="48"/>
      <c r="D277" s="48"/>
      <c r="E277" s="49"/>
      <c r="F277" s="49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7"/>
      <c r="B278" s="48"/>
      <c r="D278" s="48"/>
      <c r="E278" s="49"/>
      <c r="F278" s="49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7"/>
      <c r="B279" s="48"/>
      <c r="D279" s="48"/>
      <c r="E279" s="49"/>
      <c r="F279" s="49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7"/>
      <c r="B280" s="48"/>
      <c r="D280" s="48"/>
      <c r="E280" s="49"/>
      <c r="F280" s="49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7"/>
      <c r="B281" s="48"/>
      <c r="D281" s="48"/>
      <c r="E281" s="49"/>
      <c r="F281" s="49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7"/>
      <c r="B282" s="48"/>
      <c r="D282" s="48"/>
      <c r="E282" s="49"/>
      <c r="F282" s="49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7"/>
      <c r="B283" s="48"/>
      <c r="D283" s="48"/>
      <c r="E283" s="49"/>
      <c r="F283" s="49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7"/>
      <c r="B284" s="48"/>
      <c r="D284" s="48"/>
      <c r="E284" s="49"/>
      <c r="F284" s="49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7"/>
      <c r="B285" s="48"/>
      <c r="D285" s="48"/>
      <c r="E285" s="49"/>
      <c r="F285" s="49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7"/>
      <c r="B286" s="48"/>
      <c r="D286" s="48"/>
      <c r="E286" s="49"/>
      <c r="F286" s="49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7"/>
      <c r="B287" s="48"/>
      <c r="D287" s="48"/>
      <c r="E287" s="49"/>
      <c r="F287" s="49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7"/>
      <c r="B288" s="48"/>
      <c r="D288" s="48"/>
      <c r="E288" s="49"/>
      <c r="F288" s="49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7"/>
      <c r="B289" s="48"/>
      <c r="D289" s="48"/>
      <c r="E289" s="49"/>
      <c r="F289" s="49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7"/>
      <c r="B290" s="48"/>
      <c r="D290" s="48"/>
      <c r="E290" s="49"/>
      <c r="F290" s="49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7"/>
      <c r="B291" s="48"/>
      <c r="D291" s="48"/>
      <c r="E291" s="49"/>
      <c r="F291" s="49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7"/>
      <c r="B292" s="48"/>
      <c r="D292" s="48"/>
      <c r="E292" s="49"/>
      <c r="F292" s="49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7"/>
      <c r="B293" s="48"/>
      <c r="D293" s="48"/>
      <c r="E293" s="49"/>
      <c r="F293" s="49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7"/>
      <c r="B294" s="48"/>
      <c r="D294" s="48"/>
      <c r="E294" s="49"/>
      <c r="F294" s="49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7"/>
      <c r="B295" s="48"/>
      <c r="D295" s="48"/>
      <c r="E295" s="49"/>
      <c r="F295" s="49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7"/>
      <c r="B296" s="48"/>
      <c r="D296" s="48"/>
      <c r="E296" s="49"/>
      <c r="F296" s="49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7"/>
      <c r="B297" s="48"/>
      <c r="D297" s="48"/>
      <c r="E297" s="49"/>
      <c r="F297" s="49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7"/>
      <c r="B298" s="48"/>
      <c r="D298" s="48"/>
      <c r="E298" s="49"/>
      <c r="F298" s="49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7"/>
      <c r="B299" s="48"/>
      <c r="D299" s="48"/>
      <c r="E299" s="49"/>
      <c r="F299" s="49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7"/>
      <c r="B300" s="48"/>
      <c r="D300" s="48"/>
      <c r="E300" s="49"/>
      <c r="F300" s="49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7"/>
      <c r="B301" s="48"/>
      <c r="D301" s="48"/>
      <c r="E301" s="49"/>
      <c r="F301" s="49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7"/>
      <c r="B302" s="48"/>
      <c r="D302" s="48"/>
      <c r="E302" s="49"/>
      <c r="F302" s="49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7"/>
      <c r="B303" s="48"/>
      <c r="D303" s="48"/>
      <c r="E303" s="49"/>
      <c r="F303" s="49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7"/>
      <c r="B304" s="48"/>
      <c r="D304" s="48"/>
      <c r="E304" s="49"/>
      <c r="F304" s="49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7"/>
      <c r="B305" s="48"/>
      <c r="D305" s="48"/>
      <c r="E305" s="49"/>
      <c r="F305" s="49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7"/>
      <c r="B306" s="48"/>
      <c r="D306" s="48"/>
      <c r="E306" s="49"/>
      <c r="F306" s="49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7"/>
      <c r="B307" s="48"/>
      <c r="D307" s="48"/>
      <c r="E307" s="49"/>
      <c r="F307" s="49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7"/>
      <c r="B308" s="48"/>
      <c r="D308" s="48"/>
      <c r="E308" s="49"/>
      <c r="F308" s="49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7"/>
      <c r="B309" s="48"/>
      <c r="D309" s="48"/>
      <c r="E309" s="49"/>
      <c r="F309" s="49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7"/>
      <c r="B310" s="48"/>
      <c r="D310" s="48"/>
      <c r="E310" s="49"/>
      <c r="F310" s="49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7"/>
      <c r="B311" s="48"/>
      <c r="D311" s="48"/>
      <c r="E311" s="49"/>
      <c r="F311" s="49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7"/>
      <c r="B312" s="48"/>
      <c r="D312" s="48"/>
      <c r="E312" s="49"/>
      <c r="F312" s="49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7"/>
      <c r="B313" s="48"/>
      <c r="D313" s="48"/>
      <c r="E313" s="49"/>
      <c r="F313" s="49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7"/>
      <c r="B314" s="48"/>
      <c r="D314" s="48"/>
      <c r="E314" s="49"/>
      <c r="F314" s="49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7"/>
      <c r="B315" s="48"/>
      <c r="D315" s="48"/>
      <c r="E315" s="49"/>
      <c r="F315" s="49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47"/>
      <c r="B316" s="48"/>
      <c r="D316" s="48"/>
      <c r="E316" s="49"/>
      <c r="F316" s="49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47"/>
      <c r="B317" s="48"/>
      <c r="D317" s="48"/>
      <c r="E317" s="49"/>
      <c r="F317" s="49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47"/>
      <c r="B318" s="48"/>
      <c r="D318" s="48"/>
      <c r="E318" s="49"/>
      <c r="F318" s="49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47"/>
      <c r="B319" s="48"/>
      <c r="D319" s="48"/>
      <c r="E319" s="49"/>
      <c r="F319" s="49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47"/>
      <c r="B320" s="48"/>
      <c r="D320" s="48"/>
      <c r="E320" s="49"/>
      <c r="F320" s="49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47"/>
      <c r="B321" s="48"/>
      <c r="D321" s="48"/>
      <c r="E321" s="49"/>
      <c r="F321" s="49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47"/>
      <c r="B322" s="48"/>
      <c r="D322" s="48"/>
      <c r="E322" s="49"/>
      <c r="F322" s="49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47"/>
      <c r="B323" s="48"/>
      <c r="D323" s="48"/>
      <c r="E323" s="49"/>
      <c r="F323" s="49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47"/>
      <c r="B324" s="48"/>
      <c r="D324" s="48"/>
      <c r="E324" s="49"/>
      <c r="F324" s="49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47"/>
      <c r="B325" s="48"/>
      <c r="D325" s="48"/>
      <c r="E325" s="49"/>
      <c r="F325" s="49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47"/>
      <c r="B326" s="48"/>
      <c r="D326" s="48"/>
      <c r="E326" s="49"/>
      <c r="F326" s="49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47"/>
      <c r="B327" s="48"/>
      <c r="D327" s="48"/>
      <c r="E327" s="49"/>
      <c r="F327" s="49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47"/>
      <c r="B328" s="48"/>
      <c r="D328" s="48"/>
      <c r="E328" s="49"/>
      <c r="F328" s="49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47"/>
      <c r="B329" s="48"/>
      <c r="D329" s="48"/>
      <c r="E329" s="49"/>
      <c r="F329" s="49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47"/>
      <c r="B330" s="48"/>
      <c r="D330" s="48"/>
      <c r="E330" s="49"/>
      <c r="F330" s="49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47"/>
      <c r="B331" s="48"/>
      <c r="D331" s="48"/>
      <c r="E331" s="49"/>
      <c r="F331" s="49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47"/>
      <c r="B332" s="48"/>
      <c r="D332" s="48"/>
      <c r="E332" s="49"/>
      <c r="F332" s="49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47"/>
      <c r="B333" s="48"/>
      <c r="D333" s="48"/>
      <c r="E333" s="49"/>
      <c r="F333" s="49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47"/>
      <c r="B334" s="48"/>
      <c r="D334" s="48"/>
      <c r="E334" s="49"/>
      <c r="F334" s="49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47"/>
      <c r="B335" s="48"/>
      <c r="D335" s="48"/>
      <c r="E335" s="49"/>
      <c r="F335" s="49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47"/>
      <c r="B336" s="48"/>
      <c r="D336" s="48"/>
      <c r="E336" s="49"/>
      <c r="F336" s="4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47"/>
      <c r="B337" s="48"/>
      <c r="D337" s="48"/>
      <c r="E337" s="49"/>
      <c r="F337" s="49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47"/>
      <c r="B338" s="48"/>
      <c r="D338" s="48"/>
      <c r="E338" s="49"/>
      <c r="F338" s="49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47"/>
      <c r="B339" s="48"/>
      <c r="D339" s="48"/>
      <c r="E339" s="49"/>
      <c r="F339" s="49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47"/>
      <c r="B340" s="48"/>
      <c r="D340" s="48"/>
      <c r="E340" s="49"/>
      <c r="F340" s="49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47"/>
      <c r="B341" s="48"/>
      <c r="D341" s="48"/>
      <c r="E341" s="49"/>
      <c r="F341" s="49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47"/>
      <c r="B342" s="48"/>
      <c r="D342" s="48"/>
      <c r="E342" s="49"/>
      <c r="F342" s="49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47"/>
      <c r="B343" s="48"/>
      <c r="D343" s="48"/>
      <c r="E343" s="49"/>
      <c r="F343" s="49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47"/>
      <c r="B344" s="48"/>
      <c r="D344" s="48"/>
      <c r="E344" s="49"/>
      <c r="F344" s="49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47"/>
      <c r="B345" s="48"/>
      <c r="D345" s="48"/>
      <c r="E345" s="49"/>
      <c r="F345" s="49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47"/>
      <c r="B346" s="48"/>
      <c r="D346" s="48"/>
      <c r="E346" s="49"/>
      <c r="F346" s="49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47"/>
      <c r="B347" s="48"/>
      <c r="D347" s="48"/>
      <c r="E347" s="49"/>
      <c r="F347" s="49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47"/>
      <c r="B348" s="48"/>
      <c r="D348" s="48"/>
      <c r="E348" s="49"/>
      <c r="F348" s="49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47"/>
      <c r="B349" s="48"/>
      <c r="D349" s="48"/>
      <c r="E349" s="49"/>
      <c r="F349" s="49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47"/>
      <c r="B350" s="48"/>
      <c r="D350" s="48"/>
      <c r="E350" s="49"/>
      <c r="F350" s="49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47"/>
      <c r="B351" s="48"/>
      <c r="D351" s="48"/>
      <c r="E351" s="49"/>
      <c r="F351" s="49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47"/>
      <c r="B352" s="48"/>
      <c r="D352" s="48"/>
      <c r="E352" s="49"/>
      <c r="F352" s="49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47"/>
      <c r="B353" s="48"/>
      <c r="D353" s="48"/>
      <c r="E353" s="49"/>
      <c r="F353" s="49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47"/>
      <c r="B354" s="48"/>
      <c r="D354" s="48"/>
      <c r="E354" s="49"/>
      <c r="F354" s="49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47"/>
      <c r="B355" s="48"/>
      <c r="D355" s="48"/>
      <c r="E355" s="49"/>
      <c r="F355" s="49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47"/>
      <c r="B356" s="48"/>
      <c r="D356" s="48"/>
      <c r="E356" s="49"/>
      <c r="F356" s="49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47"/>
      <c r="B357" s="48"/>
      <c r="D357" s="48"/>
      <c r="E357" s="49"/>
      <c r="F357" s="49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47"/>
      <c r="B358" s="48"/>
      <c r="D358" s="48"/>
      <c r="E358" s="49"/>
      <c r="F358" s="49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47"/>
      <c r="B359" s="48"/>
      <c r="D359" s="48"/>
      <c r="E359" s="49"/>
      <c r="F359" s="49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47"/>
      <c r="B360" s="48"/>
      <c r="D360" s="48"/>
      <c r="E360" s="49"/>
      <c r="F360" s="49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47"/>
      <c r="B361" s="48"/>
      <c r="D361" s="48"/>
      <c r="E361" s="49"/>
      <c r="F361" s="49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47"/>
      <c r="B362" s="48"/>
      <c r="D362" s="48"/>
      <c r="E362" s="49"/>
      <c r="F362" s="49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47"/>
      <c r="B363" s="48"/>
      <c r="D363" s="48"/>
      <c r="E363" s="49"/>
      <c r="F363" s="49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47"/>
      <c r="B364" s="48"/>
      <c r="D364" s="48"/>
      <c r="E364" s="49"/>
      <c r="F364" s="49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47"/>
      <c r="B365" s="48"/>
      <c r="D365" s="48"/>
      <c r="E365" s="49"/>
      <c r="F365" s="49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47"/>
      <c r="B366" s="48"/>
      <c r="D366" s="48"/>
      <c r="E366" s="49"/>
      <c r="F366" s="49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47"/>
      <c r="B367" s="48"/>
      <c r="D367" s="48"/>
      <c r="E367" s="49"/>
      <c r="F367" s="49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47"/>
      <c r="B368" s="48"/>
      <c r="D368" s="48"/>
      <c r="E368" s="49"/>
      <c r="F368" s="49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47"/>
      <c r="B369" s="48"/>
      <c r="D369" s="48"/>
      <c r="E369" s="49"/>
      <c r="F369" s="49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47"/>
      <c r="B370" s="48"/>
      <c r="D370" s="48"/>
      <c r="E370" s="49"/>
      <c r="F370" s="49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47"/>
      <c r="B371" s="48"/>
      <c r="D371" s="48"/>
      <c r="E371" s="49"/>
      <c r="F371" s="49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47"/>
      <c r="B372" s="48"/>
      <c r="D372" s="48"/>
      <c r="E372" s="49"/>
      <c r="F372" s="49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47"/>
      <c r="B373" s="48"/>
      <c r="D373" s="48"/>
      <c r="E373" s="49"/>
      <c r="F373" s="49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47"/>
      <c r="B374" s="48"/>
      <c r="D374" s="48"/>
      <c r="E374" s="49"/>
      <c r="F374" s="49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47"/>
      <c r="B375" s="48"/>
      <c r="D375" s="48"/>
      <c r="E375" s="49"/>
      <c r="F375" s="49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47"/>
      <c r="B376" s="48"/>
      <c r="D376" s="48"/>
      <c r="E376" s="49"/>
      <c r="F376" s="49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47"/>
      <c r="B377" s="48"/>
      <c r="D377" s="48"/>
      <c r="E377" s="49"/>
      <c r="F377" s="49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47"/>
      <c r="B378" s="48"/>
      <c r="D378" s="48"/>
      <c r="E378" s="49"/>
      <c r="F378" s="49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47"/>
      <c r="B379" s="48"/>
      <c r="D379" s="48"/>
      <c r="E379" s="49"/>
      <c r="F379" s="49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47"/>
      <c r="B380" s="48"/>
      <c r="D380" s="48"/>
      <c r="E380" s="49"/>
      <c r="F380" s="49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47"/>
      <c r="B381" s="48"/>
      <c r="D381" s="48"/>
      <c r="E381" s="49"/>
      <c r="F381" s="49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47"/>
      <c r="B382" s="48"/>
      <c r="D382" s="48"/>
      <c r="E382" s="49"/>
      <c r="F382" s="49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47"/>
      <c r="B383" s="48"/>
      <c r="D383" s="48"/>
      <c r="E383" s="49"/>
      <c r="F383" s="49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47"/>
      <c r="B384" s="48"/>
      <c r="D384" s="48"/>
      <c r="E384" s="49"/>
      <c r="F384" s="49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47"/>
      <c r="B385" s="48"/>
      <c r="D385" s="48"/>
      <c r="E385" s="49"/>
      <c r="F385" s="49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47"/>
      <c r="B386" s="48"/>
      <c r="D386" s="48"/>
      <c r="E386" s="49"/>
      <c r="F386" s="49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47"/>
      <c r="B387" s="48"/>
      <c r="D387" s="48"/>
      <c r="E387" s="49"/>
      <c r="F387" s="49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47"/>
      <c r="B388" s="48"/>
      <c r="D388" s="48"/>
      <c r="E388" s="49"/>
      <c r="F388" s="49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47"/>
      <c r="B389" s="48"/>
      <c r="D389" s="48"/>
      <c r="E389" s="49"/>
      <c r="F389" s="49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7"/>
      <c r="B390" s="48"/>
      <c r="D390" s="48"/>
      <c r="E390" s="49"/>
      <c r="F390" s="49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47"/>
      <c r="B391" s="48"/>
      <c r="D391" s="48"/>
      <c r="E391" s="49"/>
      <c r="F391" s="49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47"/>
      <c r="B392" s="48"/>
      <c r="D392" s="48"/>
      <c r="E392" s="49"/>
      <c r="F392" s="49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47"/>
      <c r="B393" s="48"/>
      <c r="D393" s="48"/>
      <c r="E393" s="49"/>
      <c r="F393" s="49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47"/>
      <c r="B394" s="48"/>
      <c r="D394" s="48"/>
      <c r="E394" s="49"/>
      <c r="F394" s="49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47"/>
      <c r="B395" s="48"/>
      <c r="D395" s="48"/>
      <c r="E395" s="49"/>
      <c r="F395" s="49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47"/>
      <c r="B396" s="48"/>
      <c r="D396" s="48"/>
      <c r="E396" s="49"/>
      <c r="F396" s="49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47"/>
      <c r="B397" s="48"/>
      <c r="D397" s="48"/>
      <c r="E397" s="49"/>
      <c r="F397" s="49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47"/>
      <c r="B398" s="48"/>
      <c r="D398" s="48"/>
      <c r="E398" s="49"/>
      <c r="F398" s="49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47"/>
      <c r="B399" s="48"/>
      <c r="D399" s="48"/>
      <c r="E399" s="49"/>
      <c r="F399" s="49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47"/>
      <c r="B400" s="48"/>
      <c r="D400" s="48"/>
      <c r="E400" s="49"/>
      <c r="F400" s="49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47"/>
      <c r="B401" s="48"/>
      <c r="D401" s="48"/>
      <c r="E401" s="49"/>
      <c r="F401" s="49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47"/>
      <c r="B402" s="48"/>
      <c r="D402" s="48"/>
      <c r="E402" s="49"/>
      <c r="F402" s="49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47"/>
      <c r="B403" s="48"/>
      <c r="D403" s="48"/>
      <c r="E403" s="49"/>
      <c r="F403" s="49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47"/>
      <c r="B404" s="48"/>
      <c r="D404" s="48"/>
      <c r="E404" s="49"/>
      <c r="F404" s="49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47"/>
      <c r="B405" s="48"/>
      <c r="D405" s="48"/>
      <c r="E405" s="49"/>
      <c r="F405" s="49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47"/>
      <c r="B406" s="48"/>
      <c r="D406" s="48"/>
      <c r="E406" s="49"/>
      <c r="F406" s="49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47"/>
      <c r="B407" s="48"/>
      <c r="D407" s="48"/>
      <c r="E407" s="49"/>
      <c r="F407" s="49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47"/>
      <c r="B408" s="48"/>
      <c r="D408" s="48"/>
      <c r="E408" s="49"/>
      <c r="F408" s="49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47"/>
      <c r="B409" s="48"/>
      <c r="D409" s="48"/>
      <c r="E409" s="49"/>
      <c r="F409" s="49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47"/>
      <c r="B410" s="48"/>
      <c r="D410" s="48"/>
      <c r="E410" s="49"/>
      <c r="F410" s="49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47"/>
      <c r="B411" s="48"/>
      <c r="D411" s="48"/>
      <c r="E411" s="49"/>
      <c r="F411" s="49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47"/>
      <c r="B412" s="48"/>
      <c r="D412" s="48"/>
      <c r="E412" s="49"/>
      <c r="F412" s="49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47"/>
      <c r="B413" s="48"/>
      <c r="D413" s="48"/>
      <c r="E413" s="49"/>
      <c r="F413" s="49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47"/>
      <c r="B414" s="48"/>
      <c r="D414" s="48"/>
      <c r="E414" s="49"/>
      <c r="F414" s="49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47"/>
      <c r="B415" s="48"/>
      <c r="D415" s="48"/>
      <c r="E415" s="49"/>
      <c r="F415" s="49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47"/>
      <c r="B416" s="48"/>
      <c r="D416" s="48"/>
      <c r="E416" s="49"/>
      <c r="F416" s="49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47"/>
      <c r="B417" s="48"/>
      <c r="D417" s="48"/>
      <c r="E417" s="49"/>
      <c r="F417" s="49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47"/>
      <c r="B418" s="48"/>
      <c r="D418" s="48"/>
      <c r="E418" s="49"/>
      <c r="F418" s="49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47"/>
      <c r="B419" s="48"/>
      <c r="D419" s="48"/>
      <c r="E419" s="49"/>
      <c r="F419" s="49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47"/>
      <c r="B420" s="48"/>
      <c r="D420" s="48"/>
      <c r="E420" s="49"/>
      <c r="F420" s="49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47"/>
      <c r="B421" s="48"/>
      <c r="D421" s="48"/>
      <c r="E421" s="49"/>
      <c r="F421" s="49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47"/>
      <c r="B422" s="48"/>
      <c r="D422" s="48"/>
      <c r="E422" s="49"/>
      <c r="F422" s="49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47"/>
      <c r="B423" s="48"/>
      <c r="D423" s="48"/>
      <c r="E423" s="49"/>
      <c r="F423" s="49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47"/>
      <c r="B424" s="48"/>
      <c r="D424" s="48"/>
      <c r="E424" s="49"/>
      <c r="F424" s="49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47"/>
      <c r="B425" s="48"/>
      <c r="D425" s="48"/>
      <c r="E425" s="49"/>
      <c r="F425" s="49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47"/>
      <c r="B426" s="48"/>
      <c r="D426" s="48"/>
      <c r="E426" s="49"/>
      <c r="F426" s="49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47"/>
      <c r="B427" s="48"/>
      <c r="D427" s="48"/>
      <c r="E427" s="49"/>
      <c r="F427" s="49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47"/>
      <c r="B428" s="48"/>
      <c r="D428" s="48"/>
      <c r="E428" s="49"/>
      <c r="F428" s="49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47"/>
      <c r="B429" s="48"/>
      <c r="D429" s="48"/>
      <c r="E429" s="49"/>
      <c r="F429" s="49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47"/>
      <c r="B430" s="48"/>
      <c r="D430" s="48"/>
      <c r="E430" s="49"/>
      <c r="F430" s="49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47"/>
      <c r="B431" s="48"/>
      <c r="D431" s="48"/>
      <c r="E431" s="49"/>
      <c r="F431" s="49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47"/>
      <c r="B432" s="48"/>
      <c r="D432" s="48"/>
      <c r="E432" s="49"/>
      <c r="F432" s="49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47"/>
      <c r="B433" s="48"/>
      <c r="D433" s="48"/>
      <c r="E433" s="49"/>
      <c r="F433" s="49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47"/>
      <c r="B434" s="48"/>
      <c r="D434" s="48"/>
      <c r="E434" s="49"/>
      <c r="F434" s="49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47"/>
      <c r="B435" s="48"/>
      <c r="D435" s="48"/>
      <c r="E435" s="49"/>
      <c r="F435" s="49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47"/>
      <c r="B436" s="48"/>
      <c r="D436" s="48"/>
      <c r="E436" s="49"/>
      <c r="F436" s="49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47"/>
      <c r="B437" s="48"/>
      <c r="D437" s="48"/>
      <c r="E437" s="49"/>
      <c r="F437" s="49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47"/>
      <c r="B438" s="48"/>
      <c r="D438" s="48"/>
      <c r="E438" s="49"/>
      <c r="F438" s="49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47"/>
      <c r="B439" s="48"/>
      <c r="D439" s="48"/>
      <c r="E439" s="49"/>
      <c r="F439" s="49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47"/>
      <c r="B440" s="48"/>
      <c r="D440" s="48"/>
      <c r="E440" s="49"/>
      <c r="F440" s="49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47"/>
      <c r="B441" s="48"/>
      <c r="D441" s="48"/>
      <c r="E441" s="49"/>
      <c r="F441" s="49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47"/>
      <c r="B442" s="48"/>
      <c r="D442" s="48"/>
      <c r="E442" s="49"/>
      <c r="F442" s="49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47"/>
      <c r="B443" s="48"/>
      <c r="D443" s="48"/>
      <c r="E443" s="49"/>
      <c r="F443" s="49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47"/>
      <c r="B444" s="48"/>
      <c r="D444" s="48"/>
      <c r="E444" s="49"/>
      <c r="F444" s="49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47"/>
      <c r="B445" s="48"/>
      <c r="D445" s="48"/>
      <c r="E445" s="49"/>
      <c r="F445" s="49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47"/>
      <c r="B446" s="48"/>
      <c r="D446" s="48"/>
      <c r="E446" s="49"/>
      <c r="F446" s="49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47"/>
      <c r="B447" s="48"/>
      <c r="D447" s="48"/>
      <c r="E447" s="49"/>
      <c r="F447" s="49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47"/>
      <c r="B448" s="48"/>
      <c r="D448" s="48"/>
      <c r="E448" s="49"/>
      <c r="F448" s="49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47"/>
      <c r="B449" s="48"/>
      <c r="D449" s="48"/>
      <c r="E449" s="49"/>
      <c r="F449" s="49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47"/>
      <c r="B450" s="48"/>
      <c r="D450" s="48"/>
      <c r="E450" s="49"/>
      <c r="F450" s="49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47"/>
      <c r="B451" s="48"/>
      <c r="D451" s="48"/>
      <c r="E451" s="49"/>
      <c r="F451" s="49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47"/>
      <c r="B452" s="48"/>
      <c r="D452" s="48"/>
      <c r="E452" s="49"/>
      <c r="F452" s="49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47"/>
      <c r="B453" s="48"/>
      <c r="D453" s="48"/>
      <c r="E453" s="49"/>
      <c r="F453" s="49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47"/>
      <c r="B454" s="48"/>
      <c r="D454" s="48"/>
      <c r="E454" s="49"/>
      <c r="F454" s="49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47"/>
      <c r="B455" s="48"/>
      <c r="D455" s="48"/>
      <c r="E455" s="49"/>
      <c r="F455" s="49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47"/>
      <c r="B456" s="48"/>
      <c r="D456" s="48"/>
      <c r="E456" s="49"/>
      <c r="F456" s="49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47"/>
      <c r="B457" s="48"/>
      <c r="D457" s="48"/>
      <c r="E457" s="49"/>
      <c r="F457" s="49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47"/>
      <c r="B458" s="48"/>
      <c r="D458" s="48"/>
      <c r="E458" s="49"/>
      <c r="F458" s="49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47"/>
      <c r="B459" s="48"/>
      <c r="D459" s="48"/>
      <c r="E459" s="49"/>
      <c r="F459" s="49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47"/>
      <c r="B460" s="48"/>
      <c r="D460" s="48"/>
      <c r="E460" s="49"/>
      <c r="F460" s="49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47"/>
      <c r="B461" s="48"/>
      <c r="D461" s="48"/>
      <c r="E461" s="49"/>
      <c r="F461" s="49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47"/>
      <c r="B462" s="48"/>
      <c r="D462" s="48"/>
      <c r="E462" s="49"/>
      <c r="F462" s="49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47"/>
      <c r="B463" s="48"/>
      <c r="D463" s="48"/>
      <c r="E463" s="49"/>
      <c r="F463" s="49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47"/>
      <c r="B464" s="48"/>
      <c r="D464" s="48"/>
      <c r="E464" s="49"/>
      <c r="F464" s="49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47"/>
      <c r="B465" s="48"/>
      <c r="D465" s="48"/>
      <c r="E465" s="49"/>
      <c r="F465" s="49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47"/>
      <c r="B466" s="48"/>
      <c r="D466" s="48"/>
      <c r="E466" s="49"/>
      <c r="F466" s="49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47"/>
      <c r="B467" s="48"/>
      <c r="D467" s="48"/>
      <c r="E467" s="49"/>
      <c r="F467" s="49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47"/>
      <c r="B468" s="48"/>
      <c r="D468" s="48"/>
      <c r="E468" s="49"/>
      <c r="F468" s="49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47"/>
      <c r="B469" s="48"/>
      <c r="D469" s="48"/>
      <c r="E469" s="49"/>
      <c r="F469" s="49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47"/>
      <c r="B470" s="48"/>
      <c r="D470" s="48"/>
      <c r="E470" s="49"/>
      <c r="F470" s="49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47"/>
      <c r="B471" s="48"/>
      <c r="D471" s="48"/>
      <c r="E471" s="49"/>
      <c r="F471" s="49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47"/>
      <c r="B472" s="48"/>
      <c r="D472" s="48"/>
      <c r="E472" s="49"/>
      <c r="F472" s="49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47"/>
      <c r="B473" s="48"/>
      <c r="D473" s="48"/>
      <c r="E473" s="49"/>
      <c r="F473" s="49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47"/>
      <c r="B474" s="48"/>
      <c r="D474" s="48"/>
      <c r="E474" s="49"/>
      <c r="F474" s="49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47"/>
      <c r="B475" s="48"/>
      <c r="D475" s="48"/>
      <c r="E475" s="49"/>
      <c r="F475" s="49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47"/>
      <c r="B476" s="48"/>
      <c r="D476" s="48"/>
      <c r="E476" s="49"/>
      <c r="F476" s="49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47"/>
      <c r="B477" s="48"/>
      <c r="D477" s="48"/>
      <c r="E477" s="49"/>
      <c r="F477" s="49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47"/>
      <c r="B478" s="48"/>
      <c r="D478" s="48"/>
      <c r="E478" s="49"/>
      <c r="F478" s="49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47"/>
      <c r="B479" s="48"/>
      <c r="D479" s="48"/>
      <c r="E479" s="49"/>
      <c r="F479" s="49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47"/>
      <c r="B480" s="48"/>
      <c r="D480" s="48"/>
      <c r="E480" s="49"/>
      <c r="F480" s="49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47"/>
      <c r="B481" s="48"/>
      <c r="D481" s="48"/>
      <c r="E481" s="49"/>
      <c r="F481" s="49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47"/>
      <c r="B482" s="48"/>
      <c r="D482" s="48"/>
      <c r="E482" s="49"/>
      <c r="F482" s="49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47"/>
      <c r="B483" s="48"/>
      <c r="D483" s="48"/>
      <c r="E483" s="49"/>
      <c r="F483" s="49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47"/>
      <c r="B484" s="48"/>
      <c r="D484" s="48"/>
      <c r="E484" s="49"/>
      <c r="F484" s="49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47"/>
      <c r="B485" s="48"/>
      <c r="D485" s="48"/>
      <c r="E485" s="49"/>
      <c r="F485" s="49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47"/>
      <c r="B486" s="48"/>
      <c r="D486" s="48"/>
      <c r="E486" s="49"/>
      <c r="F486" s="49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47"/>
      <c r="B487" s="48"/>
      <c r="D487" s="48"/>
      <c r="E487" s="49"/>
      <c r="F487" s="49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47"/>
      <c r="B488" s="48"/>
      <c r="D488" s="48"/>
      <c r="E488" s="49"/>
      <c r="F488" s="49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47"/>
      <c r="B489" s="48"/>
      <c r="D489" s="48"/>
      <c r="E489" s="49"/>
      <c r="F489" s="49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47"/>
      <c r="B490" s="48"/>
      <c r="D490" s="48"/>
      <c r="E490" s="49"/>
      <c r="F490" s="49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47"/>
      <c r="B491" s="48"/>
      <c r="D491" s="48"/>
      <c r="E491" s="49"/>
      <c r="F491" s="49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47"/>
      <c r="B492" s="48"/>
      <c r="D492" s="48"/>
      <c r="E492" s="49"/>
      <c r="F492" s="49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47"/>
      <c r="B493" s="48"/>
      <c r="D493" s="48"/>
      <c r="E493" s="49"/>
      <c r="F493" s="49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47"/>
      <c r="B494" s="48"/>
      <c r="D494" s="48"/>
      <c r="E494" s="49"/>
      <c r="F494" s="49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47"/>
      <c r="B495" s="48"/>
      <c r="D495" s="48"/>
      <c r="E495" s="49"/>
      <c r="F495" s="49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47"/>
      <c r="B496" s="48"/>
      <c r="D496" s="48"/>
      <c r="E496" s="49"/>
      <c r="F496" s="49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47"/>
      <c r="B497" s="48"/>
      <c r="D497" s="48"/>
      <c r="E497" s="49"/>
      <c r="F497" s="49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47"/>
      <c r="B498" s="48"/>
      <c r="D498" s="48"/>
      <c r="E498" s="49"/>
      <c r="F498" s="49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47"/>
      <c r="B499" s="48"/>
      <c r="D499" s="48"/>
      <c r="E499" s="49"/>
      <c r="F499" s="49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47"/>
      <c r="B500" s="48"/>
      <c r="D500" s="48"/>
      <c r="E500" s="49"/>
      <c r="F500" s="49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47"/>
      <c r="B501" s="48"/>
      <c r="D501" s="48"/>
      <c r="E501" s="49"/>
      <c r="F501" s="49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47"/>
      <c r="B502" s="48"/>
      <c r="D502" s="48"/>
      <c r="E502" s="49"/>
      <c r="F502" s="49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47"/>
      <c r="B503" s="48"/>
      <c r="D503" s="48"/>
      <c r="E503" s="49"/>
      <c r="F503" s="49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47"/>
      <c r="B504" s="48"/>
      <c r="D504" s="48"/>
      <c r="E504" s="49"/>
      <c r="F504" s="49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47"/>
      <c r="B505" s="48"/>
      <c r="D505" s="48"/>
      <c r="E505" s="49"/>
      <c r="F505" s="49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47"/>
      <c r="B506" s="48"/>
      <c r="D506" s="48"/>
      <c r="E506" s="49"/>
      <c r="F506" s="49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47"/>
      <c r="B507" s="48"/>
      <c r="D507" s="48"/>
      <c r="E507" s="49"/>
      <c r="F507" s="49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47"/>
      <c r="B508" s="48"/>
      <c r="D508" s="48"/>
      <c r="E508" s="49"/>
      <c r="F508" s="49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47"/>
      <c r="B509" s="48"/>
      <c r="D509" s="48"/>
      <c r="E509" s="49"/>
      <c r="F509" s="49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47"/>
      <c r="B510" s="48"/>
      <c r="D510" s="48"/>
      <c r="E510" s="49"/>
      <c r="F510" s="49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47"/>
      <c r="B511" s="48"/>
      <c r="D511" s="48"/>
      <c r="E511" s="49"/>
      <c r="F511" s="49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47"/>
      <c r="B512" s="48"/>
      <c r="D512" s="48"/>
      <c r="E512" s="49"/>
      <c r="F512" s="49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47"/>
      <c r="B513" s="48"/>
      <c r="D513" s="48"/>
      <c r="E513" s="49"/>
      <c r="F513" s="49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47"/>
      <c r="B514" s="48"/>
      <c r="D514" s="48"/>
      <c r="E514" s="49"/>
      <c r="F514" s="49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47"/>
      <c r="B515" s="48"/>
      <c r="D515" s="48"/>
      <c r="E515" s="49"/>
      <c r="F515" s="49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47"/>
      <c r="B516" s="48"/>
      <c r="D516" s="48"/>
      <c r="E516" s="49"/>
      <c r="F516" s="49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47"/>
      <c r="B517" s="48"/>
      <c r="D517" s="48"/>
      <c r="E517" s="49"/>
      <c r="F517" s="49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47"/>
      <c r="B518" s="48"/>
      <c r="D518" s="48"/>
      <c r="E518" s="49"/>
      <c r="F518" s="49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47"/>
      <c r="B519" s="48"/>
      <c r="D519" s="48"/>
      <c r="E519" s="49"/>
      <c r="F519" s="49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47"/>
      <c r="B520" s="48"/>
      <c r="D520" s="48"/>
      <c r="E520" s="49"/>
      <c r="F520" s="49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47"/>
      <c r="B521" s="48"/>
      <c r="D521" s="48"/>
      <c r="E521" s="49"/>
      <c r="F521" s="49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47"/>
      <c r="B522" s="48"/>
      <c r="D522" s="48"/>
      <c r="E522" s="49"/>
      <c r="F522" s="49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47"/>
      <c r="B523" s="48"/>
      <c r="D523" s="48"/>
      <c r="E523" s="49"/>
      <c r="F523" s="49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47"/>
      <c r="B524" s="48"/>
      <c r="D524" s="48"/>
      <c r="E524" s="49"/>
      <c r="F524" s="49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47"/>
      <c r="B525" s="48"/>
      <c r="D525" s="48"/>
      <c r="E525" s="49"/>
      <c r="F525" s="49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47"/>
      <c r="B526" s="48"/>
      <c r="D526" s="48"/>
      <c r="E526" s="49"/>
      <c r="F526" s="49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47"/>
      <c r="B527" s="48"/>
      <c r="D527" s="48"/>
      <c r="E527" s="49"/>
      <c r="F527" s="49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47"/>
      <c r="B528" s="48"/>
      <c r="D528" s="48"/>
      <c r="E528" s="49"/>
      <c r="F528" s="49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47"/>
      <c r="B529" s="48"/>
      <c r="D529" s="48"/>
      <c r="E529" s="49"/>
      <c r="F529" s="49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47"/>
      <c r="B530" s="48"/>
      <c r="D530" s="48"/>
      <c r="E530" s="49"/>
      <c r="F530" s="49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47"/>
      <c r="B531" s="48"/>
      <c r="D531" s="48"/>
      <c r="E531" s="49"/>
      <c r="F531" s="49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47"/>
      <c r="B532" s="48"/>
      <c r="D532" s="48"/>
      <c r="E532" s="49"/>
      <c r="F532" s="49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47"/>
      <c r="B533" s="48"/>
      <c r="D533" s="48"/>
      <c r="E533" s="49"/>
      <c r="F533" s="49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47"/>
      <c r="B534" s="48"/>
      <c r="D534" s="48"/>
      <c r="E534" s="49"/>
      <c r="F534" s="49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47"/>
      <c r="B535" s="48"/>
      <c r="D535" s="48"/>
      <c r="E535" s="49"/>
      <c r="F535" s="49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47"/>
      <c r="B536" s="48"/>
      <c r="D536" s="48"/>
      <c r="E536" s="49"/>
      <c r="F536" s="49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47"/>
      <c r="B537" s="48"/>
      <c r="D537" s="48"/>
      <c r="E537" s="49"/>
      <c r="F537" s="49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47"/>
      <c r="B538" s="48"/>
      <c r="D538" s="48"/>
      <c r="E538" s="49"/>
      <c r="F538" s="49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47"/>
      <c r="B539" s="48"/>
      <c r="D539" s="48"/>
      <c r="E539" s="49"/>
      <c r="F539" s="49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47"/>
      <c r="B540" s="48"/>
      <c r="D540" s="48"/>
      <c r="E540" s="49"/>
      <c r="F540" s="49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47"/>
      <c r="B541" s="48"/>
      <c r="D541" s="48"/>
      <c r="E541" s="49"/>
      <c r="F541" s="49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47"/>
      <c r="B542" s="48"/>
      <c r="D542" s="48"/>
      <c r="E542" s="49"/>
      <c r="F542" s="49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47"/>
      <c r="B543" s="48"/>
      <c r="D543" s="48"/>
      <c r="E543" s="49"/>
      <c r="F543" s="49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47"/>
      <c r="B544" s="48"/>
      <c r="D544" s="48"/>
      <c r="E544" s="49"/>
      <c r="F544" s="49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47"/>
      <c r="B545" s="48"/>
      <c r="D545" s="48"/>
      <c r="E545" s="49"/>
      <c r="F545" s="49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47"/>
      <c r="B546" s="48"/>
      <c r="D546" s="48"/>
      <c r="E546" s="49"/>
      <c r="F546" s="49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47"/>
      <c r="B547" s="48"/>
      <c r="D547" s="48"/>
      <c r="E547" s="49"/>
      <c r="F547" s="49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47"/>
      <c r="B548" s="48"/>
      <c r="D548" s="48"/>
      <c r="E548" s="49"/>
      <c r="F548" s="49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47"/>
      <c r="B549" s="48"/>
      <c r="D549" s="48"/>
      <c r="E549" s="49"/>
      <c r="F549" s="49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47"/>
      <c r="B550" s="48"/>
      <c r="D550" s="48"/>
      <c r="E550" s="49"/>
      <c r="F550" s="49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47"/>
      <c r="B551" s="48"/>
      <c r="D551" s="48"/>
      <c r="E551" s="49"/>
      <c r="F551" s="49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47"/>
      <c r="B552" s="48"/>
      <c r="D552" s="48"/>
      <c r="E552" s="49"/>
      <c r="F552" s="49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47"/>
      <c r="B553" s="48"/>
      <c r="D553" s="48"/>
      <c r="E553" s="49"/>
      <c r="F553" s="49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47"/>
      <c r="B554" s="48"/>
      <c r="D554" s="48"/>
      <c r="E554" s="49"/>
      <c r="F554" s="49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47"/>
      <c r="B555" s="48"/>
      <c r="D555" s="48"/>
      <c r="E555" s="49"/>
      <c r="F555" s="49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47"/>
      <c r="B556" s="48"/>
      <c r="D556" s="48"/>
      <c r="E556" s="49"/>
      <c r="F556" s="49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47"/>
      <c r="B557" s="48"/>
      <c r="D557" s="48"/>
      <c r="E557" s="49"/>
      <c r="F557" s="49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47"/>
      <c r="B558" s="48"/>
      <c r="D558" s="48"/>
      <c r="E558" s="49"/>
      <c r="F558" s="49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47"/>
      <c r="B559" s="48"/>
      <c r="D559" s="48"/>
      <c r="E559" s="49"/>
      <c r="F559" s="49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47"/>
      <c r="B560" s="48"/>
      <c r="D560" s="48"/>
      <c r="E560" s="49"/>
      <c r="F560" s="49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47"/>
      <c r="B561" s="48"/>
      <c r="D561" s="48"/>
      <c r="E561" s="49"/>
      <c r="F561" s="49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47"/>
      <c r="B562" s="48"/>
      <c r="D562" s="48"/>
      <c r="E562" s="49"/>
      <c r="F562" s="49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47"/>
      <c r="B563" s="48"/>
      <c r="D563" s="48"/>
      <c r="E563" s="49"/>
      <c r="F563" s="49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47"/>
      <c r="B564" s="48"/>
      <c r="D564" s="48"/>
      <c r="E564" s="49"/>
      <c r="F564" s="49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47"/>
      <c r="B565" s="48"/>
      <c r="D565" s="48"/>
      <c r="E565" s="49"/>
      <c r="F565" s="49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47"/>
      <c r="B566" s="48"/>
      <c r="D566" s="48"/>
      <c r="E566" s="49"/>
      <c r="F566" s="49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47"/>
      <c r="B567" s="48"/>
      <c r="D567" s="48"/>
      <c r="E567" s="49"/>
      <c r="F567" s="49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47"/>
      <c r="B568" s="48"/>
      <c r="D568" s="48"/>
      <c r="E568" s="49"/>
      <c r="F568" s="49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47"/>
      <c r="B569" s="48"/>
      <c r="D569" s="48"/>
      <c r="E569" s="49"/>
      <c r="F569" s="49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47"/>
      <c r="B570" s="48"/>
      <c r="D570" s="48"/>
      <c r="E570" s="49"/>
      <c r="F570" s="49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47"/>
      <c r="B571" s="48"/>
      <c r="D571" s="48"/>
      <c r="E571" s="49"/>
      <c r="F571" s="49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47"/>
      <c r="B572" s="48"/>
      <c r="D572" s="48"/>
      <c r="E572" s="49"/>
      <c r="F572" s="49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47"/>
      <c r="B573" s="48"/>
      <c r="D573" s="48"/>
      <c r="E573" s="49"/>
      <c r="F573" s="49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47"/>
      <c r="B574" s="48"/>
      <c r="D574" s="48"/>
      <c r="E574" s="49"/>
      <c r="F574" s="49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47"/>
      <c r="B575" s="48"/>
      <c r="D575" s="48"/>
      <c r="E575" s="49"/>
      <c r="F575" s="49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47"/>
      <c r="B576" s="48"/>
      <c r="D576" s="48"/>
      <c r="E576" s="49"/>
      <c r="F576" s="49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47"/>
      <c r="B577" s="48"/>
      <c r="D577" s="48"/>
      <c r="E577" s="49"/>
      <c r="F577" s="49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47"/>
      <c r="B578" s="48"/>
      <c r="D578" s="48"/>
      <c r="E578" s="49"/>
      <c r="F578" s="49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47"/>
      <c r="B579" s="48"/>
      <c r="D579" s="48"/>
      <c r="E579" s="49"/>
      <c r="F579" s="49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47"/>
      <c r="B580" s="48"/>
      <c r="D580" s="48"/>
      <c r="E580" s="49"/>
      <c r="F580" s="49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47"/>
      <c r="B581" s="48"/>
      <c r="D581" s="48"/>
      <c r="E581" s="49"/>
      <c r="F581" s="49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47"/>
      <c r="B582" s="48"/>
      <c r="D582" s="48"/>
      <c r="E582" s="49"/>
      <c r="F582" s="49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47"/>
      <c r="B583" s="48"/>
      <c r="D583" s="48"/>
      <c r="E583" s="49"/>
      <c r="F583" s="49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47"/>
      <c r="B584" s="48"/>
      <c r="D584" s="48"/>
      <c r="E584" s="49"/>
      <c r="F584" s="49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47"/>
      <c r="B585" s="48"/>
      <c r="D585" s="48"/>
      <c r="E585" s="49"/>
      <c r="F585" s="49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47"/>
      <c r="B586" s="48"/>
      <c r="D586" s="48"/>
      <c r="E586" s="49"/>
      <c r="F586" s="49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47"/>
      <c r="B587" s="48"/>
      <c r="D587" s="48"/>
      <c r="E587" s="49"/>
      <c r="F587" s="49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47"/>
      <c r="B588" s="48"/>
      <c r="D588" s="48"/>
      <c r="E588" s="49"/>
      <c r="F588" s="49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47"/>
      <c r="B589" s="48"/>
      <c r="D589" s="48"/>
      <c r="E589" s="49"/>
      <c r="F589" s="49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47"/>
      <c r="B590" s="48"/>
      <c r="D590" s="48"/>
      <c r="E590" s="49"/>
      <c r="F590" s="49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47"/>
      <c r="B591" s="48"/>
      <c r="D591" s="48"/>
      <c r="E591" s="49"/>
      <c r="F591" s="49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47"/>
      <c r="B592" s="48"/>
      <c r="D592" s="48"/>
      <c r="E592" s="49"/>
      <c r="F592" s="49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47"/>
      <c r="B593" s="48"/>
      <c r="D593" s="48"/>
      <c r="E593" s="49"/>
      <c r="F593" s="49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47"/>
      <c r="B594" s="48"/>
      <c r="D594" s="48"/>
      <c r="E594" s="49"/>
      <c r="F594" s="49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47"/>
      <c r="B595" s="48"/>
      <c r="D595" s="48"/>
      <c r="E595" s="49"/>
      <c r="F595" s="49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47"/>
      <c r="B596" s="48"/>
      <c r="D596" s="48"/>
      <c r="E596" s="49"/>
      <c r="F596" s="49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47"/>
      <c r="B597" s="48"/>
      <c r="D597" s="48"/>
      <c r="E597" s="49"/>
      <c r="F597" s="49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47"/>
      <c r="B598" s="48"/>
      <c r="D598" s="48"/>
      <c r="E598" s="49"/>
      <c r="F598" s="49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47"/>
      <c r="B599" s="48"/>
      <c r="D599" s="48"/>
      <c r="E599" s="49"/>
      <c r="F599" s="49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47"/>
      <c r="B600" s="48"/>
      <c r="D600" s="48"/>
      <c r="E600" s="49"/>
      <c r="F600" s="49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47"/>
      <c r="B601" s="48"/>
      <c r="D601" s="48"/>
      <c r="E601" s="49"/>
      <c r="F601" s="49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47"/>
      <c r="B602" s="48"/>
      <c r="D602" s="48"/>
      <c r="E602" s="49"/>
      <c r="F602" s="49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47"/>
      <c r="B603" s="48"/>
      <c r="D603" s="48"/>
      <c r="E603" s="49"/>
      <c r="F603" s="49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47"/>
      <c r="B604" s="48"/>
      <c r="D604" s="48"/>
      <c r="E604" s="49"/>
      <c r="F604" s="49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47"/>
      <c r="B605" s="48"/>
      <c r="D605" s="48"/>
      <c r="E605" s="49"/>
      <c r="F605" s="49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47"/>
      <c r="B606" s="48"/>
      <c r="D606" s="48"/>
      <c r="E606" s="49"/>
      <c r="F606" s="49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47"/>
      <c r="B607" s="48"/>
      <c r="D607" s="48"/>
      <c r="E607" s="49"/>
      <c r="F607" s="49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47"/>
      <c r="B608" s="48"/>
      <c r="D608" s="48"/>
      <c r="E608" s="49"/>
      <c r="F608" s="49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47"/>
      <c r="B609" s="48"/>
      <c r="D609" s="48"/>
      <c r="E609" s="49"/>
      <c r="F609" s="49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47"/>
      <c r="B610" s="48"/>
      <c r="D610" s="48"/>
      <c r="E610" s="49"/>
      <c r="F610" s="49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47"/>
      <c r="B611" s="48"/>
      <c r="D611" s="48"/>
      <c r="E611" s="49"/>
      <c r="F611" s="49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47"/>
      <c r="B612" s="48"/>
      <c r="D612" s="48"/>
      <c r="E612" s="49"/>
      <c r="F612" s="49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47"/>
      <c r="B613" s="48"/>
      <c r="D613" s="48"/>
      <c r="E613" s="49"/>
      <c r="F613" s="49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47"/>
      <c r="B614" s="48"/>
      <c r="D614" s="48"/>
      <c r="E614" s="49"/>
      <c r="F614" s="49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47"/>
      <c r="B615" s="48"/>
      <c r="D615" s="48"/>
      <c r="E615" s="49"/>
      <c r="F615" s="49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47"/>
      <c r="B616" s="48"/>
      <c r="D616" s="48"/>
      <c r="E616" s="49"/>
      <c r="F616" s="49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47"/>
      <c r="B617" s="48"/>
      <c r="D617" s="48"/>
      <c r="E617" s="49"/>
      <c r="F617" s="49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47"/>
      <c r="B618" s="48"/>
      <c r="D618" s="48"/>
      <c r="E618" s="49"/>
      <c r="F618" s="49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47"/>
      <c r="B619" s="48"/>
      <c r="D619" s="48"/>
      <c r="E619" s="49"/>
      <c r="F619" s="49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47"/>
      <c r="B620" s="48"/>
      <c r="D620" s="48"/>
      <c r="E620" s="49"/>
      <c r="F620" s="49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47"/>
      <c r="B621" s="48"/>
      <c r="D621" s="48"/>
      <c r="E621" s="49"/>
      <c r="F621" s="49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47"/>
      <c r="B622" s="48"/>
      <c r="D622" s="48"/>
      <c r="E622" s="49"/>
      <c r="F622" s="49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47"/>
      <c r="B623" s="48"/>
      <c r="D623" s="48"/>
      <c r="E623" s="49"/>
      <c r="F623" s="49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47"/>
      <c r="B624" s="48"/>
      <c r="D624" s="48"/>
      <c r="E624" s="49"/>
      <c r="F624" s="49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47"/>
      <c r="B625" s="48"/>
      <c r="D625" s="48"/>
      <c r="E625" s="49"/>
      <c r="F625" s="49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47"/>
      <c r="B626" s="48"/>
      <c r="D626" s="48"/>
      <c r="E626" s="49"/>
      <c r="F626" s="49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47"/>
      <c r="B627" s="48"/>
      <c r="D627" s="48"/>
      <c r="E627" s="49"/>
      <c r="F627" s="49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47"/>
      <c r="B628" s="48"/>
      <c r="D628" s="48"/>
      <c r="E628" s="49"/>
      <c r="F628" s="49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47"/>
      <c r="B629" s="48"/>
      <c r="D629" s="48"/>
      <c r="E629" s="49"/>
      <c r="F629" s="49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47"/>
      <c r="B630" s="48"/>
      <c r="D630" s="48"/>
      <c r="E630" s="49"/>
      <c r="F630" s="49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47"/>
      <c r="B631" s="48"/>
      <c r="D631" s="48"/>
      <c r="E631" s="49"/>
      <c r="F631" s="49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47"/>
      <c r="B632" s="48"/>
      <c r="D632" s="48"/>
      <c r="E632" s="49"/>
      <c r="F632" s="49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47"/>
      <c r="B633" s="48"/>
      <c r="D633" s="48"/>
      <c r="E633" s="49"/>
      <c r="F633" s="49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47"/>
      <c r="B634" s="48"/>
      <c r="D634" s="48"/>
      <c r="E634" s="49"/>
      <c r="F634" s="49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47"/>
      <c r="B635" s="48"/>
      <c r="D635" s="48"/>
      <c r="E635" s="49"/>
      <c r="F635" s="49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47"/>
      <c r="B636" s="48"/>
      <c r="D636" s="48"/>
      <c r="E636" s="49"/>
      <c r="F636" s="49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47"/>
      <c r="B637" s="48"/>
      <c r="D637" s="48"/>
      <c r="E637" s="49"/>
      <c r="F637" s="49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47"/>
      <c r="B638" s="48"/>
      <c r="D638" s="48"/>
      <c r="E638" s="49"/>
      <c r="F638" s="49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47"/>
      <c r="B639" s="48"/>
      <c r="D639" s="48"/>
      <c r="E639" s="49"/>
      <c r="F639" s="49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47"/>
      <c r="B640" s="48"/>
      <c r="D640" s="48"/>
      <c r="E640" s="49"/>
      <c r="F640" s="49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47"/>
      <c r="B641" s="48"/>
      <c r="D641" s="48"/>
      <c r="E641" s="49"/>
      <c r="F641" s="49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47"/>
      <c r="B642" s="48"/>
      <c r="D642" s="48"/>
      <c r="E642" s="49"/>
      <c r="F642" s="49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47"/>
      <c r="B643" s="48"/>
      <c r="D643" s="48"/>
      <c r="E643" s="49"/>
      <c r="F643" s="49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47"/>
      <c r="B644" s="48"/>
      <c r="D644" s="48"/>
      <c r="E644" s="49"/>
      <c r="F644" s="49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47"/>
      <c r="B645" s="48"/>
      <c r="D645" s="48"/>
      <c r="E645" s="49"/>
      <c r="F645" s="49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47"/>
      <c r="B646" s="48"/>
      <c r="D646" s="48"/>
      <c r="E646" s="49"/>
      <c r="F646" s="49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47"/>
      <c r="B647" s="48"/>
      <c r="D647" s="48"/>
      <c r="E647" s="49"/>
      <c r="F647" s="49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47"/>
      <c r="B648" s="48"/>
      <c r="D648" s="48"/>
      <c r="E648" s="49"/>
      <c r="F648" s="49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47"/>
      <c r="B649" s="48"/>
      <c r="D649" s="48"/>
      <c r="E649" s="49"/>
      <c r="F649" s="49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47"/>
      <c r="B650" s="48"/>
      <c r="D650" s="48"/>
      <c r="E650" s="49"/>
      <c r="F650" s="49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47"/>
      <c r="B651" s="48"/>
      <c r="D651" s="48"/>
      <c r="E651" s="49"/>
      <c r="F651" s="49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47"/>
      <c r="B652" s="48"/>
      <c r="D652" s="48"/>
      <c r="E652" s="49"/>
      <c r="F652" s="49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47"/>
      <c r="B653" s="48"/>
      <c r="D653" s="48"/>
      <c r="E653" s="49"/>
      <c r="F653" s="49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47"/>
      <c r="B654" s="48"/>
      <c r="D654" s="48"/>
      <c r="E654" s="49"/>
      <c r="F654" s="49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47"/>
      <c r="B655" s="48"/>
      <c r="D655" s="48"/>
      <c r="E655" s="49"/>
      <c r="F655" s="49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47"/>
      <c r="B656" s="48"/>
      <c r="D656" s="48"/>
      <c r="E656" s="49"/>
      <c r="F656" s="49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47"/>
      <c r="B657" s="48"/>
      <c r="D657" s="48"/>
      <c r="E657" s="49"/>
      <c r="F657" s="49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47"/>
      <c r="B658" s="48"/>
      <c r="D658" s="48"/>
      <c r="E658" s="49"/>
      <c r="F658" s="49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47"/>
      <c r="B659" s="48"/>
      <c r="D659" s="48"/>
      <c r="E659" s="49"/>
      <c r="F659" s="49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47"/>
      <c r="B660" s="48"/>
      <c r="D660" s="48"/>
      <c r="E660" s="49"/>
      <c r="F660" s="49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47"/>
      <c r="B661" s="48"/>
      <c r="D661" s="48"/>
      <c r="E661" s="49"/>
      <c r="F661" s="49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47"/>
      <c r="B662" s="48"/>
      <c r="D662" s="48"/>
      <c r="E662" s="49"/>
      <c r="F662" s="49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47"/>
      <c r="B663" s="48"/>
      <c r="D663" s="48"/>
      <c r="E663" s="49"/>
      <c r="F663" s="49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47"/>
      <c r="B664" s="48"/>
      <c r="D664" s="48"/>
      <c r="E664" s="49"/>
      <c r="F664" s="49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47"/>
      <c r="B665" s="48"/>
      <c r="D665" s="48"/>
      <c r="E665" s="49"/>
      <c r="F665" s="49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47"/>
      <c r="B666" s="48"/>
      <c r="D666" s="48"/>
      <c r="E666" s="49"/>
      <c r="F666" s="49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47"/>
      <c r="B667" s="48"/>
      <c r="D667" s="48"/>
      <c r="E667" s="49"/>
      <c r="F667" s="49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47"/>
      <c r="B668" s="48"/>
      <c r="D668" s="48"/>
      <c r="E668" s="49"/>
      <c r="F668" s="49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47"/>
      <c r="B669" s="48"/>
      <c r="D669" s="48"/>
      <c r="E669" s="49"/>
      <c r="F669" s="49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47"/>
      <c r="B670" s="48"/>
      <c r="D670" s="48"/>
      <c r="E670" s="49"/>
      <c r="F670" s="49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47"/>
      <c r="B671" s="48"/>
      <c r="D671" s="48"/>
      <c r="E671" s="49"/>
      <c r="F671" s="49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47"/>
      <c r="B672" s="48"/>
      <c r="D672" s="48"/>
      <c r="E672" s="49"/>
      <c r="F672" s="49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47"/>
      <c r="B673" s="48"/>
      <c r="D673" s="48"/>
      <c r="E673" s="49"/>
      <c r="F673" s="49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47"/>
      <c r="B674" s="48"/>
      <c r="D674" s="48"/>
      <c r="E674" s="49"/>
      <c r="F674" s="49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47"/>
      <c r="B675" s="48"/>
      <c r="D675" s="48"/>
      <c r="E675" s="49"/>
      <c r="F675" s="49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47"/>
      <c r="B676" s="48"/>
      <c r="D676" s="48"/>
      <c r="E676" s="49"/>
      <c r="F676" s="49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47"/>
      <c r="B677" s="48"/>
      <c r="D677" s="48"/>
      <c r="E677" s="49"/>
      <c r="F677" s="49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47"/>
      <c r="B678" s="48"/>
      <c r="D678" s="48"/>
      <c r="E678" s="49"/>
      <c r="F678" s="49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47"/>
      <c r="B679" s="48"/>
      <c r="D679" s="48"/>
      <c r="E679" s="49"/>
      <c r="F679" s="49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47"/>
      <c r="B680" s="48"/>
      <c r="D680" s="48"/>
      <c r="E680" s="49"/>
      <c r="F680" s="49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47"/>
      <c r="B681" s="48"/>
      <c r="D681" s="48"/>
      <c r="E681" s="49"/>
      <c r="F681" s="49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47"/>
      <c r="B682" s="48"/>
      <c r="D682" s="48"/>
      <c r="E682" s="49"/>
      <c r="F682" s="49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47"/>
      <c r="B683" s="48"/>
      <c r="D683" s="48"/>
      <c r="E683" s="49"/>
      <c r="F683" s="49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47"/>
      <c r="B684" s="48"/>
      <c r="D684" s="48"/>
      <c r="E684" s="49"/>
      <c r="F684" s="49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47"/>
      <c r="B685" s="48"/>
      <c r="D685" s="48"/>
      <c r="E685" s="49"/>
      <c r="F685" s="49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47"/>
      <c r="B686" s="48"/>
      <c r="D686" s="48"/>
      <c r="E686" s="49"/>
      <c r="F686" s="49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47"/>
      <c r="B687" s="48"/>
      <c r="D687" s="48"/>
      <c r="E687" s="49"/>
      <c r="F687" s="49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47"/>
      <c r="B688" s="48"/>
      <c r="D688" s="48"/>
      <c r="E688" s="49"/>
      <c r="F688" s="49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47"/>
      <c r="B689" s="48"/>
      <c r="D689" s="48"/>
      <c r="E689" s="49"/>
      <c r="F689" s="49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47"/>
      <c r="B690" s="48"/>
      <c r="D690" s="48"/>
      <c r="E690" s="49"/>
      <c r="F690" s="49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47"/>
      <c r="B691" s="48"/>
      <c r="D691" s="48"/>
      <c r="E691" s="49"/>
      <c r="F691" s="49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47"/>
      <c r="B692" s="48"/>
      <c r="D692" s="48"/>
      <c r="E692" s="49"/>
      <c r="F692" s="49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47"/>
      <c r="B693" s="48"/>
      <c r="D693" s="48"/>
      <c r="E693" s="49"/>
      <c r="F693" s="49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47"/>
      <c r="B694" s="48"/>
      <c r="D694" s="48"/>
      <c r="E694" s="49"/>
      <c r="F694" s="49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47"/>
      <c r="B695" s="48"/>
      <c r="D695" s="48"/>
      <c r="E695" s="49"/>
      <c r="F695" s="49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47"/>
      <c r="B696" s="48"/>
      <c r="D696" s="48"/>
      <c r="E696" s="49"/>
      <c r="F696" s="49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47"/>
      <c r="B697" s="48"/>
      <c r="D697" s="48"/>
      <c r="E697" s="49"/>
      <c r="F697" s="49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47"/>
      <c r="B698" s="48"/>
      <c r="D698" s="48"/>
      <c r="E698" s="49"/>
      <c r="F698" s="49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47"/>
      <c r="B699" s="48"/>
      <c r="D699" s="48"/>
      <c r="E699" s="49"/>
      <c r="F699" s="49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47"/>
      <c r="B700" s="48"/>
      <c r="D700" s="48"/>
      <c r="E700" s="49"/>
      <c r="F700" s="49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47"/>
      <c r="B701" s="48"/>
      <c r="D701" s="48"/>
      <c r="E701" s="49"/>
      <c r="F701" s="49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47"/>
      <c r="B702" s="48"/>
      <c r="D702" s="48"/>
      <c r="E702" s="49"/>
      <c r="F702" s="49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47"/>
      <c r="B703" s="48"/>
      <c r="D703" s="48"/>
      <c r="E703" s="49"/>
      <c r="F703" s="49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47"/>
      <c r="B704" s="48"/>
      <c r="D704" s="48"/>
      <c r="E704" s="49"/>
      <c r="F704" s="49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47"/>
      <c r="B705" s="48"/>
      <c r="D705" s="48"/>
      <c r="E705" s="49"/>
      <c r="F705" s="49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47"/>
      <c r="B706" s="48"/>
      <c r="D706" s="48"/>
      <c r="E706" s="49"/>
      <c r="F706" s="49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47"/>
      <c r="B707" s="48"/>
      <c r="D707" s="48"/>
      <c r="E707" s="49"/>
      <c r="F707" s="49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47"/>
      <c r="B708" s="48"/>
      <c r="D708" s="48"/>
      <c r="E708" s="49"/>
      <c r="F708" s="49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47"/>
      <c r="B709" s="48"/>
      <c r="D709" s="48"/>
      <c r="E709" s="49"/>
      <c r="F709" s="49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47"/>
      <c r="B710" s="48"/>
      <c r="D710" s="48"/>
      <c r="E710" s="49"/>
      <c r="F710" s="49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47"/>
      <c r="B711" s="48"/>
      <c r="D711" s="48"/>
      <c r="E711" s="49"/>
      <c r="F711" s="49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47"/>
      <c r="B712" s="48"/>
      <c r="D712" s="48"/>
      <c r="E712" s="49"/>
      <c r="F712" s="49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47"/>
      <c r="B713" s="48"/>
      <c r="D713" s="48"/>
      <c r="E713" s="49"/>
      <c r="F713" s="49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47"/>
      <c r="B714" s="48"/>
      <c r="D714" s="48"/>
      <c r="E714" s="49"/>
      <c r="F714" s="49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47"/>
      <c r="B715" s="48"/>
      <c r="D715" s="48"/>
      <c r="E715" s="49"/>
      <c r="F715" s="49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47"/>
      <c r="B716" s="48"/>
      <c r="D716" s="48"/>
      <c r="E716" s="49"/>
      <c r="F716" s="49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47"/>
      <c r="B717" s="48"/>
      <c r="D717" s="48"/>
      <c r="E717" s="49"/>
      <c r="F717" s="49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47"/>
      <c r="B718" s="48"/>
      <c r="D718" s="48"/>
      <c r="E718" s="49"/>
      <c r="F718" s="49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47"/>
      <c r="B719" s="48"/>
      <c r="D719" s="48"/>
      <c r="E719" s="49"/>
      <c r="F719" s="49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47"/>
      <c r="B720" s="48"/>
      <c r="D720" s="48"/>
      <c r="E720" s="49"/>
      <c r="F720" s="49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47"/>
      <c r="B721" s="48"/>
      <c r="D721" s="48"/>
      <c r="E721" s="49"/>
      <c r="F721" s="49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47"/>
      <c r="B722" s="48"/>
      <c r="D722" s="48"/>
      <c r="E722" s="49"/>
      <c r="F722" s="49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47"/>
      <c r="B723" s="48"/>
      <c r="D723" s="48"/>
      <c r="E723" s="49"/>
      <c r="F723" s="49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47"/>
      <c r="B724" s="48"/>
      <c r="D724" s="48"/>
      <c r="E724" s="49"/>
      <c r="F724" s="49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47"/>
      <c r="B725" s="48"/>
      <c r="D725" s="48"/>
      <c r="E725" s="49"/>
      <c r="F725" s="49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47"/>
      <c r="B726" s="48"/>
      <c r="D726" s="48"/>
      <c r="E726" s="49"/>
      <c r="F726" s="49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47"/>
      <c r="B727" s="48"/>
      <c r="D727" s="48"/>
      <c r="E727" s="49"/>
      <c r="F727" s="49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47"/>
      <c r="B728" s="48"/>
      <c r="D728" s="48"/>
      <c r="E728" s="49"/>
      <c r="F728" s="49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47"/>
      <c r="B729" s="48"/>
      <c r="D729" s="48"/>
      <c r="E729" s="49"/>
      <c r="F729" s="49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47"/>
      <c r="B730" s="48"/>
      <c r="D730" s="48"/>
      <c r="E730" s="49"/>
      <c r="F730" s="49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47"/>
      <c r="B731" s="48"/>
      <c r="D731" s="48"/>
      <c r="E731" s="49"/>
      <c r="F731" s="49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47"/>
      <c r="B732" s="48"/>
      <c r="D732" s="48"/>
      <c r="E732" s="49"/>
      <c r="F732" s="49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47"/>
      <c r="B733" s="48"/>
      <c r="D733" s="48"/>
      <c r="E733" s="49"/>
      <c r="F733" s="49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47"/>
      <c r="B734" s="48"/>
      <c r="D734" s="48"/>
      <c r="E734" s="49"/>
      <c r="F734" s="49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47"/>
      <c r="B735" s="48"/>
      <c r="D735" s="48"/>
      <c r="E735" s="49"/>
      <c r="F735" s="49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47"/>
      <c r="B736" s="48"/>
      <c r="D736" s="48"/>
      <c r="E736" s="49"/>
      <c r="F736" s="49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47"/>
      <c r="B737" s="48"/>
      <c r="D737" s="48"/>
      <c r="E737" s="49"/>
      <c r="F737" s="49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47"/>
      <c r="B738" s="48"/>
      <c r="D738" s="48"/>
      <c r="E738" s="49"/>
      <c r="F738" s="49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47"/>
      <c r="B739" s="48"/>
      <c r="D739" s="48"/>
      <c r="E739" s="49"/>
      <c r="F739" s="49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47"/>
      <c r="B740" s="48"/>
      <c r="D740" s="48"/>
      <c r="E740" s="49"/>
      <c r="F740" s="49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47"/>
      <c r="B741" s="48"/>
      <c r="D741" s="48"/>
      <c r="E741" s="49"/>
      <c r="F741" s="49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47"/>
      <c r="B742" s="48"/>
      <c r="D742" s="48"/>
      <c r="E742" s="49"/>
      <c r="F742" s="49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47"/>
      <c r="B743" s="48"/>
      <c r="D743" s="48"/>
      <c r="E743" s="49"/>
      <c r="F743" s="49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47"/>
      <c r="B744" s="48"/>
      <c r="D744" s="48"/>
      <c r="E744" s="49"/>
      <c r="F744" s="49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47"/>
      <c r="B745" s="48"/>
      <c r="D745" s="48"/>
      <c r="E745" s="49"/>
      <c r="F745" s="49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47"/>
      <c r="B746" s="48"/>
      <c r="D746" s="48"/>
      <c r="E746" s="49"/>
      <c r="F746" s="49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47"/>
      <c r="B747" s="48"/>
      <c r="D747" s="48"/>
      <c r="E747" s="49"/>
      <c r="F747" s="49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47"/>
      <c r="B748" s="48"/>
      <c r="D748" s="48"/>
      <c r="E748" s="49"/>
      <c r="F748" s="49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47"/>
      <c r="B749" s="48"/>
      <c r="D749" s="48"/>
      <c r="E749" s="49"/>
      <c r="F749" s="49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47"/>
      <c r="B750" s="48"/>
      <c r="D750" s="48"/>
      <c r="E750" s="49"/>
      <c r="F750" s="49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47"/>
      <c r="B751" s="48"/>
      <c r="D751" s="48"/>
      <c r="E751" s="49"/>
      <c r="F751" s="49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47"/>
      <c r="B752" s="48"/>
      <c r="D752" s="48"/>
      <c r="E752" s="49"/>
      <c r="F752" s="49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47"/>
      <c r="B753" s="48"/>
      <c r="D753" s="48"/>
      <c r="E753" s="49"/>
      <c r="F753" s="49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47"/>
      <c r="B754" s="48"/>
      <c r="D754" s="48"/>
      <c r="E754" s="49"/>
      <c r="F754" s="49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47"/>
      <c r="B755" s="48"/>
      <c r="D755" s="48"/>
      <c r="E755" s="49"/>
      <c r="F755" s="49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47"/>
      <c r="B756" s="48"/>
      <c r="D756" s="48"/>
      <c r="E756" s="49"/>
      <c r="F756" s="49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47"/>
      <c r="B757" s="48"/>
      <c r="D757" s="48"/>
      <c r="E757" s="49"/>
      <c r="F757" s="49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47"/>
      <c r="B758" s="48"/>
      <c r="D758" s="48"/>
      <c r="E758" s="49"/>
      <c r="F758" s="49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47"/>
      <c r="B759" s="48"/>
      <c r="D759" s="48"/>
      <c r="E759" s="49"/>
      <c r="F759" s="49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47"/>
      <c r="B760" s="48"/>
      <c r="D760" s="48"/>
      <c r="E760" s="49"/>
      <c r="F760" s="49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47"/>
      <c r="B761" s="48"/>
      <c r="D761" s="48"/>
      <c r="E761" s="49"/>
      <c r="F761" s="49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47"/>
      <c r="B762" s="48"/>
      <c r="D762" s="48"/>
      <c r="E762" s="49"/>
      <c r="F762" s="49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47"/>
      <c r="B763" s="48"/>
      <c r="D763" s="48"/>
      <c r="E763" s="49"/>
      <c r="F763" s="49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47"/>
      <c r="B764" s="48"/>
      <c r="D764" s="48"/>
      <c r="E764" s="49"/>
      <c r="F764" s="49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47"/>
      <c r="B765" s="48"/>
      <c r="D765" s="48"/>
      <c r="E765" s="49"/>
      <c r="F765" s="49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47"/>
      <c r="B766" s="48"/>
      <c r="D766" s="48"/>
      <c r="E766" s="49"/>
      <c r="F766" s="49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47"/>
      <c r="B767" s="48"/>
      <c r="D767" s="48"/>
      <c r="E767" s="49"/>
      <c r="F767" s="49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47"/>
      <c r="B768" s="48"/>
      <c r="D768" s="48"/>
      <c r="E768" s="49"/>
      <c r="F768" s="49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47"/>
      <c r="B769" s="48"/>
      <c r="D769" s="48"/>
      <c r="E769" s="49"/>
      <c r="F769" s="49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47"/>
      <c r="B770" s="48"/>
      <c r="D770" s="48"/>
      <c r="E770" s="49"/>
      <c r="F770" s="49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47"/>
      <c r="B771" s="48"/>
      <c r="D771" s="48"/>
      <c r="E771" s="49"/>
      <c r="F771" s="49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47"/>
      <c r="B772" s="48"/>
      <c r="D772" s="48"/>
      <c r="E772" s="49"/>
      <c r="F772" s="49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47"/>
      <c r="B773" s="48"/>
      <c r="D773" s="48"/>
      <c r="E773" s="49"/>
      <c r="F773" s="49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47"/>
      <c r="B774" s="48"/>
      <c r="D774" s="48"/>
      <c r="E774" s="49"/>
      <c r="F774" s="49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47"/>
      <c r="B775" s="48"/>
      <c r="D775" s="48"/>
      <c r="E775" s="49"/>
      <c r="F775" s="49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47"/>
      <c r="B776" s="48"/>
      <c r="D776" s="48"/>
      <c r="E776" s="49"/>
      <c r="F776" s="49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47"/>
      <c r="B777" s="48"/>
      <c r="D777" s="48"/>
      <c r="E777" s="49"/>
      <c r="F777" s="49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47"/>
      <c r="B778" s="48"/>
      <c r="D778" s="48"/>
      <c r="E778" s="49"/>
      <c r="F778" s="49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47"/>
      <c r="B779" s="48"/>
      <c r="D779" s="48"/>
      <c r="E779" s="49"/>
      <c r="F779" s="49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47"/>
      <c r="B780" s="48"/>
      <c r="D780" s="48"/>
      <c r="E780" s="49"/>
      <c r="F780" s="49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47"/>
      <c r="B781" s="48"/>
      <c r="D781" s="48"/>
      <c r="E781" s="49"/>
      <c r="F781" s="49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47"/>
      <c r="B782" s="48"/>
      <c r="D782" s="48"/>
      <c r="E782" s="49"/>
      <c r="F782" s="49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47"/>
      <c r="B783" s="48"/>
      <c r="D783" s="48"/>
      <c r="E783" s="49"/>
      <c r="F783" s="49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47"/>
      <c r="B784" s="48"/>
      <c r="D784" s="48"/>
      <c r="E784" s="49"/>
      <c r="F784" s="49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47"/>
      <c r="B785" s="48"/>
      <c r="D785" s="48"/>
      <c r="E785" s="49"/>
      <c r="F785" s="49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47"/>
      <c r="B786" s="48"/>
      <c r="D786" s="48"/>
      <c r="E786" s="49"/>
      <c r="F786" s="49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47"/>
      <c r="B787" s="48"/>
      <c r="D787" s="48"/>
      <c r="E787" s="49"/>
      <c r="F787" s="49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47"/>
      <c r="B788" s="48"/>
      <c r="D788" s="48"/>
      <c r="E788" s="49"/>
      <c r="F788" s="49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47"/>
      <c r="B789" s="48"/>
      <c r="D789" s="48"/>
      <c r="E789" s="49"/>
      <c r="F789" s="49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47"/>
      <c r="B790" s="48"/>
      <c r="D790" s="48"/>
      <c r="E790" s="49"/>
      <c r="F790" s="49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47"/>
      <c r="B791" s="48"/>
      <c r="D791" s="48"/>
      <c r="E791" s="49"/>
      <c r="F791" s="49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47"/>
      <c r="B792" s="48"/>
      <c r="D792" s="48"/>
      <c r="E792" s="49"/>
      <c r="F792" s="49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47"/>
      <c r="B793" s="48"/>
      <c r="D793" s="48"/>
      <c r="E793" s="49"/>
      <c r="F793" s="49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47"/>
      <c r="B794" s="48"/>
      <c r="D794" s="48"/>
      <c r="E794" s="49"/>
      <c r="F794" s="49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47"/>
      <c r="B795" s="48"/>
      <c r="D795" s="48"/>
      <c r="E795" s="49"/>
      <c r="F795" s="49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47"/>
      <c r="B796" s="48"/>
      <c r="D796" s="48"/>
      <c r="E796" s="49"/>
      <c r="F796" s="49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47"/>
      <c r="B797" s="48"/>
      <c r="D797" s="48"/>
      <c r="E797" s="49"/>
      <c r="F797" s="49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47"/>
      <c r="B798" s="48"/>
      <c r="D798" s="48"/>
      <c r="E798" s="49"/>
      <c r="F798" s="49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47"/>
      <c r="B799" s="48"/>
      <c r="D799" s="48"/>
      <c r="E799" s="49"/>
      <c r="F799" s="49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47"/>
      <c r="B800" s="48"/>
      <c r="D800" s="48"/>
      <c r="E800" s="49"/>
      <c r="F800" s="49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47"/>
      <c r="B801" s="48"/>
      <c r="D801" s="48"/>
      <c r="E801" s="49"/>
      <c r="F801" s="49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47"/>
      <c r="B802" s="48"/>
      <c r="D802" s="48"/>
      <c r="E802" s="49"/>
      <c r="F802" s="49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47"/>
      <c r="B803" s="48"/>
      <c r="D803" s="48"/>
      <c r="E803" s="49"/>
      <c r="F803" s="49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47"/>
      <c r="B804" s="48"/>
      <c r="D804" s="48"/>
      <c r="E804" s="49"/>
      <c r="F804" s="49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47"/>
      <c r="B805" s="48"/>
      <c r="D805" s="48"/>
      <c r="E805" s="49"/>
      <c r="F805" s="49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47"/>
      <c r="B806" s="48"/>
      <c r="D806" s="48"/>
      <c r="E806" s="49"/>
      <c r="F806" s="49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47"/>
      <c r="B807" s="48"/>
      <c r="D807" s="48"/>
      <c r="E807" s="49"/>
      <c r="F807" s="49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47"/>
      <c r="B808" s="48"/>
      <c r="D808" s="48"/>
      <c r="E808" s="49"/>
      <c r="F808" s="49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47"/>
      <c r="B809" s="48"/>
      <c r="D809" s="48"/>
      <c r="E809" s="49"/>
      <c r="F809" s="49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47"/>
      <c r="B810" s="48"/>
      <c r="D810" s="48"/>
      <c r="E810" s="49"/>
      <c r="F810" s="49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47"/>
      <c r="B811" s="48"/>
      <c r="D811" s="48"/>
      <c r="E811" s="49"/>
      <c r="F811" s="49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47"/>
      <c r="B812" s="48"/>
      <c r="D812" s="48"/>
      <c r="E812" s="49"/>
      <c r="F812" s="49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47"/>
      <c r="B813" s="48"/>
      <c r="D813" s="48"/>
      <c r="E813" s="49"/>
      <c r="F813" s="49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47"/>
      <c r="B814" s="48"/>
      <c r="D814" s="48"/>
      <c r="E814" s="49"/>
      <c r="F814" s="49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47"/>
      <c r="B815" s="48"/>
      <c r="D815" s="48"/>
      <c r="E815" s="49"/>
      <c r="F815" s="49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47"/>
      <c r="B816" s="48"/>
      <c r="D816" s="48"/>
      <c r="E816" s="49"/>
      <c r="F816" s="49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47"/>
      <c r="B817" s="48"/>
      <c r="D817" s="48"/>
      <c r="E817" s="49"/>
      <c r="F817" s="49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47"/>
      <c r="B818" s="48"/>
      <c r="D818" s="48"/>
      <c r="E818" s="49"/>
      <c r="F818" s="49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47"/>
      <c r="B819" s="48"/>
      <c r="D819" s="48"/>
      <c r="E819" s="49"/>
      <c r="F819" s="49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47"/>
      <c r="B820" s="48"/>
      <c r="D820" s="48"/>
      <c r="E820" s="49"/>
      <c r="F820" s="49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47"/>
      <c r="B821" s="48"/>
      <c r="D821" s="48"/>
      <c r="E821" s="49"/>
      <c r="F821" s="49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47"/>
      <c r="B822" s="48"/>
      <c r="D822" s="48"/>
      <c r="E822" s="49"/>
      <c r="F822" s="49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47"/>
      <c r="B823" s="48"/>
      <c r="D823" s="48"/>
      <c r="E823" s="49"/>
      <c r="F823" s="49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47"/>
      <c r="B824" s="48"/>
      <c r="D824" s="48"/>
      <c r="E824" s="49"/>
      <c r="F824" s="49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47"/>
      <c r="B825" s="48"/>
      <c r="D825" s="48"/>
      <c r="E825" s="49"/>
      <c r="F825" s="49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47"/>
      <c r="B826" s="48"/>
      <c r="D826" s="48"/>
      <c r="E826" s="49"/>
      <c r="F826" s="49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47"/>
      <c r="B827" s="48"/>
      <c r="D827" s="48"/>
      <c r="E827" s="49"/>
      <c r="F827" s="49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47"/>
      <c r="B828" s="48"/>
      <c r="D828" s="48"/>
      <c r="E828" s="49"/>
      <c r="F828" s="49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47"/>
      <c r="B829" s="48"/>
      <c r="D829" s="48"/>
      <c r="E829" s="49"/>
      <c r="F829" s="49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47"/>
      <c r="B830" s="48"/>
      <c r="D830" s="48"/>
      <c r="E830" s="49"/>
      <c r="F830" s="49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47"/>
      <c r="B831" s="48"/>
      <c r="D831" s="48"/>
      <c r="E831" s="49"/>
      <c r="F831" s="49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47"/>
      <c r="B832" s="48"/>
      <c r="D832" s="48"/>
      <c r="E832" s="49"/>
      <c r="F832" s="49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47"/>
      <c r="B833" s="48"/>
      <c r="D833" s="48"/>
      <c r="E833" s="49"/>
      <c r="F833" s="49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47"/>
      <c r="B834" s="48"/>
      <c r="D834" s="48"/>
      <c r="E834" s="49"/>
      <c r="F834" s="49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47"/>
      <c r="B835" s="48"/>
      <c r="D835" s="48"/>
      <c r="E835" s="49"/>
      <c r="F835" s="49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47"/>
      <c r="B836" s="48"/>
      <c r="D836" s="48"/>
      <c r="E836" s="49"/>
      <c r="F836" s="49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47"/>
      <c r="B837" s="48"/>
      <c r="D837" s="48"/>
      <c r="E837" s="49"/>
      <c r="F837" s="49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47"/>
      <c r="B838" s="48"/>
      <c r="D838" s="48"/>
      <c r="E838" s="49"/>
      <c r="F838" s="49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47"/>
      <c r="B839" s="48"/>
      <c r="D839" s="48"/>
      <c r="E839" s="49"/>
      <c r="F839" s="49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47"/>
      <c r="B840" s="48"/>
      <c r="D840" s="48"/>
      <c r="E840" s="49"/>
      <c r="F840" s="49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47"/>
      <c r="B841" s="48"/>
      <c r="D841" s="48"/>
      <c r="E841" s="49"/>
      <c r="F841" s="49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47"/>
      <c r="B842" s="48"/>
      <c r="D842" s="48"/>
      <c r="E842" s="49"/>
      <c r="F842" s="49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47"/>
      <c r="B843" s="48"/>
      <c r="D843" s="48"/>
      <c r="E843" s="49"/>
      <c r="F843" s="49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47"/>
      <c r="B844" s="48"/>
      <c r="D844" s="48"/>
      <c r="E844" s="49"/>
      <c r="F844" s="49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47"/>
      <c r="B845" s="48"/>
      <c r="D845" s="48"/>
      <c r="E845" s="49"/>
      <c r="F845" s="49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47"/>
      <c r="B846" s="48"/>
      <c r="D846" s="48"/>
      <c r="E846" s="49"/>
      <c r="F846" s="49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47"/>
      <c r="B847" s="48"/>
      <c r="D847" s="48"/>
      <c r="E847" s="49"/>
      <c r="F847" s="49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47"/>
      <c r="B848" s="48"/>
      <c r="D848" s="48"/>
      <c r="E848" s="49"/>
      <c r="F848" s="49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47"/>
      <c r="B849" s="48"/>
      <c r="D849" s="48"/>
      <c r="E849" s="49"/>
      <c r="F849" s="49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47"/>
      <c r="B850" s="48"/>
      <c r="D850" s="48"/>
      <c r="E850" s="49"/>
      <c r="F850" s="49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47"/>
      <c r="B851" s="48"/>
      <c r="D851" s="48"/>
      <c r="E851" s="49"/>
      <c r="F851" s="49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47"/>
      <c r="B852" s="48"/>
      <c r="D852" s="48"/>
      <c r="E852" s="49"/>
      <c r="F852" s="49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47"/>
      <c r="B853" s="48"/>
      <c r="D853" s="48"/>
      <c r="E853" s="49"/>
      <c r="F853" s="49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47"/>
      <c r="B854" s="48"/>
      <c r="D854" s="48"/>
      <c r="E854" s="49"/>
      <c r="F854" s="49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47"/>
      <c r="B855" s="48"/>
      <c r="D855" s="48"/>
      <c r="E855" s="49"/>
      <c r="F855" s="49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47"/>
      <c r="B856" s="48"/>
      <c r="D856" s="48"/>
      <c r="E856" s="49"/>
      <c r="F856" s="49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47"/>
      <c r="B857" s="48"/>
      <c r="D857" s="48"/>
      <c r="E857" s="49"/>
      <c r="F857" s="49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47"/>
      <c r="B858" s="48"/>
      <c r="D858" s="48"/>
      <c r="E858" s="49"/>
      <c r="F858" s="49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47"/>
      <c r="B859" s="48"/>
      <c r="D859" s="48"/>
      <c r="E859" s="49"/>
      <c r="F859" s="49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47"/>
      <c r="B860" s="48"/>
      <c r="D860" s="48"/>
      <c r="E860" s="49"/>
      <c r="F860" s="49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47"/>
      <c r="B861" s="48"/>
      <c r="D861" s="48"/>
      <c r="E861" s="49"/>
      <c r="F861" s="49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47"/>
      <c r="B862" s="48"/>
      <c r="D862" s="48"/>
      <c r="E862" s="49"/>
      <c r="F862" s="49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47"/>
      <c r="B863" s="48"/>
      <c r="D863" s="48"/>
      <c r="E863" s="49"/>
      <c r="F863" s="49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47"/>
      <c r="B864" s="48"/>
      <c r="D864" s="48"/>
      <c r="E864" s="49"/>
      <c r="F864" s="49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47"/>
      <c r="B865" s="48"/>
      <c r="D865" s="48"/>
      <c r="E865" s="49"/>
      <c r="F865" s="49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47"/>
      <c r="B866" s="48"/>
      <c r="D866" s="48"/>
      <c r="E866" s="49"/>
      <c r="F866" s="49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47"/>
      <c r="B867" s="48"/>
      <c r="D867" s="48"/>
      <c r="E867" s="49"/>
      <c r="F867" s="49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47"/>
      <c r="B868" s="48"/>
      <c r="D868" s="48"/>
      <c r="E868" s="49"/>
      <c r="F868" s="49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47"/>
      <c r="B869" s="48"/>
      <c r="D869" s="48"/>
      <c r="E869" s="49"/>
      <c r="F869" s="49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47"/>
      <c r="B870" s="48"/>
      <c r="D870" s="48"/>
      <c r="E870" s="49"/>
      <c r="F870" s="49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47"/>
      <c r="B871" s="48"/>
      <c r="D871" s="48"/>
      <c r="E871" s="49"/>
      <c r="F871" s="49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47"/>
      <c r="B872" s="48"/>
      <c r="D872" s="48"/>
      <c r="E872" s="49"/>
      <c r="F872" s="49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47"/>
      <c r="B873" s="48"/>
      <c r="D873" s="48"/>
      <c r="E873" s="49"/>
      <c r="F873" s="49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47"/>
      <c r="B874" s="48"/>
      <c r="D874" s="48"/>
      <c r="E874" s="49"/>
      <c r="F874" s="49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47"/>
      <c r="B875" s="48"/>
      <c r="D875" s="48"/>
      <c r="E875" s="49"/>
      <c r="F875" s="49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47"/>
      <c r="B876" s="48"/>
      <c r="D876" s="48"/>
      <c r="E876" s="49"/>
      <c r="F876" s="49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47"/>
      <c r="B877" s="48"/>
      <c r="D877" s="48"/>
      <c r="E877" s="49"/>
      <c r="F877" s="49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47"/>
      <c r="B878" s="48"/>
      <c r="D878" s="48"/>
      <c r="E878" s="49"/>
      <c r="F878" s="49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47"/>
      <c r="B879" s="48"/>
      <c r="D879" s="48"/>
      <c r="E879" s="49"/>
      <c r="F879" s="49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47"/>
      <c r="B880" s="48"/>
      <c r="D880" s="48"/>
      <c r="E880" s="49"/>
      <c r="F880" s="49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47"/>
      <c r="B881" s="48"/>
      <c r="D881" s="48"/>
      <c r="E881" s="49"/>
      <c r="F881" s="49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47"/>
      <c r="B882" s="48"/>
      <c r="D882" s="48"/>
      <c r="E882" s="49"/>
      <c r="F882" s="49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47"/>
      <c r="B883" s="48"/>
      <c r="D883" s="48"/>
      <c r="E883" s="49"/>
      <c r="F883" s="49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47"/>
      <c r="B884" s="48"/>
      <c r="D884" s="48"/>
      <c r="E884" s="49"/>
      <c r="F884" s="49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47"/>
      <c r="B885" s="48"/>
      <c r="D885" s="48"/>
      <c r="E885" s="49"/>
      <c r="F885" s="49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47"/>
      <c r="B886" s="48"/>
      <c r="D886" s="48"/>
      <c r="E886" s="49"/>
      <c r="F886" s="49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47"/>
      <c r="B887" s="48"/>
      <c r="D887" s="48"/>
      <c r="E887" s="49"/>
      <c r="F887" s="49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47"/>
      <c r="B888" s="48"/>
      <c r="D888" s="48"/>
      <c r="E888" s="49"/>
      <c r="F888" s="49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47"/>
      <c r="B889" s="48"/>
      <c r="D889" s="48"/>
      <c r="E889" s="49"/>
      <c r="F889" s="49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47"/>
      <c r="B890" s="48"/>
      <c r="D890" s="48"/>
      <c r="E890" s="49"/>
      <c r="F890" s="49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47"/>
      <c r="B891" s="48"/>
      <c r="D891" s="48"/>
      <c r="E891" s="49"/>
      <c r="F891" s="49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47"/>
      <c r="B892" s="48"/>
      <c r="D892" s="48"/>
      <c r="E892" s="49"/>
      <c r="F892" s="49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47"/>
      <c r="B893" s="48"/>
      <c r="D893" s="48"/>
      <c r="E893" s="49"/>
      <c r="F893" s="49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47"/>
      <c r="B894" s="48"/>
      <c r="D894" s="48"/>
      <c r="E894" s="49"/>
      <c r="F894" s="49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47"/>
      <c r="B895" s="48"/>
      <c r="D895" s="48"/>
      <c r="E895" s="49"/>
      <c r="F895" s="49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47"/>
      <c r="B896" s="48"/>
      <c r="D896" s="48"/>
      <c r="E896" s="49"/>
      <c r="F896" s="49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47"/>
      <c r="B897" s="48"/>
      <c r="D897" s="48"/>
      <c r="E897" s="49"/>
      <c r="F897" s="49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47"/>
      <c r="B898" s="48"/>
      <c r="D898" s="48"/>
      <c r="E898" s="49"/>
      <c r="F898" s="49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47"/>
      <c r="B899" s="48"/>
      <c r="D899" s="48"/>
      <c r="E899" s="49"/>
      <c r="F899" s="49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47"/>
      <c r="B900" s="48"/>
      <c r="D900" s="48"/>
      <c r="E900" s="49"/>
      <c r="F900" s="49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47"/>
      <c r="B901" s="48"/>
      <c r="D901" s="48"/>
      <c r="E901" s="49"/>
      <c r="F901" s="49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47"/>
      <c r="B902" s="48"/>
      <c r="D902" s="48"/>
      <c r="E902" s="49"/>
      <c r="F902" s="49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47"/>
      <c r="B903" s="48"/>
      <c r="D903" s="48"/>
      <c r="E903" s="49"/>
      <c r="F903" s="49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47"/>
      <c r="B904" s="48"/>
      <c r="D904" s="48"/>
      <c r="E904" s="49"/>
      <c r="F904" s="49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47"/>
      <c r="B905" s="48"/>
      <c r="D905" s="48"/>
      <c r="E905" s="49"/>
      <c r="F905" s="49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47"/>
      <c r="B906" s="48"/>
      <c r="D906" s="48"/>
      <c r="E906" s="49"/>
      <c r="F906" s="49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47"/>
      <c r="B907" s="48"/>
      <c r="D907" s="48"/>
      <c r="E907" s="49"/>
      <c r="F907" s="49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47"/>
      <c r="B908" s="48"/>
      <c r="D908" s="48"/>
      <c r="E908" s="49"/>
      <c r="F908" s="49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47"/>
      <c r="B909" s="48"/>
      <c r="D909" s="48"/>
      <c r="E909" s="49"/>
      <c r="F909" s="49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47"/>
      <c r="B910" s="48"/>
      <c r="D910" s="48"/>
      <c r="E910" s="49"/>
      <c r="F910" s="49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47"/>
      <c r="B911" s="48"/>
      <c r="D911" s="48"/>
      <c r="E911" s="49"/>
      <c r="F911" s="49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47"/>
      <c r="B912" s="48"/>
      <c r="D912" s="48"/>
      <c r="E912" s="49"/>
      <c r="F912" s="49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47"/>
      <c r="B913" s="48"/>
      <c r="D913" s="48"/>
      <c r="E913" s="49"/>
      <c r="F913" s="49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47"/>
      <c r="B914" s="48"/>
      <c r="D914" s="48"/>
      <c r="E914" s="49"/>
      <c r="F914" s="49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47"/>
      <c r="B915" s="48"/>
      <c r="D915" s="48"/>
      <c r="E915" s="49"/>
      <c r="F915" s="49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47"/>
      <c r="B916" s="48"/>
      <c r="D916" s="48"/>
      <c r="E916" s="49"/>
      <c r="F916" s="49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47"/>
      <c r="B917" s="48"/>
      <c r="D917" s="48"/>
      <c r="E917" s="49"/>
      <c r="F917" s="49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47"/>
      <c r="B918" s="48"/>
      <c r="D918" s="48"/>
      <c r="E918" s="49"/>
      <c r="F918" s="49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47"/>
      <c r="B919" s="48"/>
      <c r="D919" s="48"/>
      <c r="E919" s="49"/>
      <c r="F919" s="49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47"/>
      <c r="B920" s="48"/>
      <c r="D920" s="48"/>
      <c r="E920" s="49"/>
      <c r="F920" s="49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47"/>
      <c r="B921" s="48"/>
      <c r="D921" s="48"/>
      <c r="E921" s="49"/>
      <c r="F921" s="49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47"/>
      <c r="B922" s="48"/>
      <c r="D922" s="48"/>
      <c r="E922" s="49"/>
      <c r="F922" s="49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47"/>
      <c r="B923" s="48"/>
      <c r="D923" s="48"/>
      <c r="E923" s="49"/>
      <c r="F923" s="49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47"/>
      <c r="B924" s="48"/>
      <c r="D924" s="48"/>
      <c r="E924" s="49"/>
      <c r="F924" s="49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47"/>
      <c r="B925" s="48"/>
      <c r="D925" s="48"/>
      <c r="E925" s="49"/>
      <c r="F925" s="49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47"/>
      <c r="B926" s="48"/>
      <c r="D926" s="48"/>
      <c r="E926" s="49"/>
      <c r="F926" s="49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47"/>
      <c r="B927" s="48"/>
      <c r="D927" s="48"/>
      <c r="E927" s="49"/>
      <c r="F927" s="49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47"/>
      <c r="B928" s="48"/>
      <c r="D928" s="48"/>
      <c r="E928" s="49"/>
      <c r="F928" s="49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47"/>
      <c r="B929" s="48"/>
      <c r="D929" s="48"/>
      <c r="E929" s="49"/>
      <c r="F929" s="49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47"/>
      <c r="B930" s="48"/>
      <c r="D930" s="48"/>
      <c r="E930" s="49"/>
      <c r="F930" s="49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47"/>
      <c r="B931" s="48"/>
      <c r="D931" s="48"/>
      <c r="E931" s="49"/>
      <c r="F931" s="49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47"/>
      <c r="B932" s="48"/>
      <c r="D932" s="48"/>
      <c r="E932" s="49"/>
      <c r="F932" s="49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47"/>
      <c r="B933" s="48"/>
      <c r="D933" s="48"/>
      <c r="E933" s="49"/>
      <c r="F933" s="49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47"/>
      <c r="B934" s="48"/>
      <c r="D934" s="48"/>
      <c r="E934" s="49"/>
      <c r="F934" s="49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47"/>
      <c r="B935" s="48"/>
      <c r="D935" s="48"/>
      <c r="E935" s="49"/>
      <c r="F935" s="49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47"/>
      <c r="B936" s="48"/>
      <c r="D936" s="48"/>
      <c r="E936" s="49"/>
      <c r="F936" s="49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47"/>
      <c r="B937" s="48"/>
      <c r="D937" s="48"/>
      <c r="E937" s="49"/>
      <c r="F937" s="49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47"/>
      <c r="B938" s="48"/>
      <c r="D938" s="48"/>
      <c r="E938" s="49"/>
      <c r="F938" s="49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47"/>
      <c r="B939" s="48"/>
      <c r="D939" s="48"/>
      <c r="E939" s="49"/>
      <c r="F939" s="49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47"/>
      <c r="B940" s="48"/>
      <c r="D940" s="48"/>
      <c r="E940" s="49"/>
      <c r="F940" s="49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47"/>
      <c r="B941" s="48"/>
      <c r="D941" s="48"/>
      <c r="E941" s="49"/>
      <c r="F941" s="49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47"/>
      <c r="B942" s="48"/>
      <c r="D942" s="48"/>
      <c r="E942" s="49"/>
      <c r="F942" s="49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47"/>
      <c r="B943" s="48"/>
      <c r="D943" s="48"/>
      <c r="E943" s="49"/>
      <c r="F943" s="49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47"/>
      <c r="B944" s="48"/>
      <c r="D944" s="48"/>
      <c r="E944" s="49"/>
      <c r="F944" s="49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47"/>
      <c r="B945" s="48"/>
      <c r="D945" s="48"/>
      <c r="E945" s="49"/>
      <c r="F945" s="49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47"/>
      <c r="B946" s="48"/>
      <c r="D946" s="48"/>
      <c r="E946" s="49"/>
      <c r="F946" s="49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47"/>
      <c r="B947" s="48"/>
      <c r="D947" s="48"/>
      <c r="E947" s="49"/>
      <c r="F947" s="49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47"/>
      <c r="B948" s="48"/>
      <c r="D948" s="48"/>
      <c r="E948" s="49"/>
      <c r="F948" s="49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47"/>
      <c r="B949" s="48"/>
      <c r="D949" s="48"/>
      <c r="E949" s="49"/>
      <c r="F949" s="49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47"/>
      <c r="B950" s="48"/>
      <c r="D950" s="48"/>
      <c r="E950" s="49"/>
      <c r="F950" s="49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47"/>
      <c r="B951" s="48"/>
      <c r="D951" s="48"/>
      <c r="E951" s="49"/>
      <c r="F951" s="49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47"/>
      <c r="B952" s="48"/>
      <c r="D952" s="48"/>
      <c r="E952" s="49"/>
      <c r="F952" s="49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47"/>
      <c r="B953" s="48"/>
      <c r="D953" s="48"/>
      <c r="E953" s="49"/>
      <c r="F953" s="49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47"/>
      <c r="B954" s="48"/>
      <c r="D954" s="48"/>
      <c r="E954" s="49"/>
      <c r="F954" s="49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47"/>
      <c r="B955" s="48"/>
      <c r="D955" s="48"/>
      <c r="E955" s="49"/>
      <c r="F955" s="49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47"/>
      <c r="B956" s="48"/>
      <c r="D956" s="48"/>
      <c r="E956" s="49"/>
      <c r="F956" s="49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47"/>
      <c r="B957" s="48"/>
      <c r="D957" s="48"/>
      <c r="E957" s="49"/>
      <c r="F957" s="49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47"/>
      <c r="B958" s="48"/>
      <c r="D958" s="48"/>
      <c r="E958" s="49"/>
      <c r="F958" s="49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47"/>
      <c r="B959" s="48"/>
      <c r="D959" s="48"/>
      <c r="E959" s="49"/>
      <c r="F959" s="49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47"/>
      <c r="B960" s="48"/>
      <c r="D960" s="48"/>
      <c r="E960" s="49"/>
      <c r="F960" s="49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47"/>
      <c r="B961" s="48"/>
      <c r="D961" s="48"/>
      <c r="E961" s="49"/>
      <c r="F961" s="49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47"/>
      <c r="B962" s="48"/>
      <c r="D962" s="48"/>
      <c r="E962" s="49"/>
      <c r="F962" s="49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47"/>
      <c r="B963" s="48"/>
      <c r="D963" s="48"/>
      <c r="E963" s="49"/>
      <c r="F963" s="49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47"/>
      <c r="B964" s="48"/>
      <c r="D964" s="48"/>
      <c r="E964" s="49"/>
      <c r="F964" s="49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47"/>
      <c r="B965" s="48"/>
      <c r="D965" s="48"/>
      <c r="E965" s="49"/>
      <c r="F965" s="49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47"/>
      <c r="B966" s="48"/>
      <c r="D966" s="48"/>
      <c r="E966" s="49"/>
      <c r="F966" s="49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47"/>
      <c r="B967" s="48"/>
      <c r="D967" s="48"/>
      <c r="E967" s="49"/>
      <c r="F967" s="49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47"/>
      <c r="B968" s="48"/>
      <c r="D968" s="48"/>
      <c r="E968" s="49"/>
      <c r="F968" s="49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47"/>
      <c r="B969" s="48"/>
      <c r="D969" s="48"/>
      <c r="E969" s="49"/>
      <c r="F969" s="49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47"/>
      <c r="B970" s="48"/>
      <c r="D970" s="48"/>
      <c r="E970" s="49"/>
      <c r="F970" s="49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47"/>
      <c r="B971" s="48"/>
      <c r="D971" s="48"/>
      <c r="E971" s="49"/>
      <c r="F971" s="49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47"/>
      <c r="B972" s="48"/>
      <c r="D972" s="48"/>
      <c r="E972" s="49"/>
      <c r="F972" s="49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47"/>
      <c r="B973" s="48"/>
      <c r="D973" s="48"/>
      <c r="E973" s="49"/>
      <c r="F973" s="49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47"/>
      <c r="B974" s="48"/>
      <c r="D974" s="48"/>
      <c r="E974" s="49"/>
      <c r="F974" s="49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47"/>
      <c r="B975" s="48"/>
      <c r="D975" s="48"/>
      <c r="E975" s="49"/>
      <c r="F975" s="49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47"/>
      <c r="B976" s="48"/>
      <c r="D976" s="48"/>
      <c r="E976" s="49"/>
      <c r="F976" s="49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47"/>
      <c r="B977" s="48"/>
      <c r="D977" s="48"/>
      <c r="E977" s="49"/>
      <c r="F977" s="49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47"/>
      <c r="B978" s="48"/>
      <c r="D978" s="48"/>
      <c r="E978" s="49"/>
      <c r="F978" s="49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47"/>
      <c r="B979" s="48"/>
      <c r="D979" s="48"/>
      <c r="E979" s="49"/>
      <c r="F979" s="49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47"/>
      <c r="B980" s="48"/>
      <c r="D980" s="48"/>
      <c r="E980" s="49"/>
      <c r="F980" s="49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47"/>
      <c r="B981" s="48"/>
      <c r="D981" s="48"/>
      <c r="E981" s="49"/>
      <c r="F981" s="49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47"/>
      <c r="B982" s="48"/>
      <c r="D982" s="48"/>
      <c r="E982" s="49"/>
      <c r="F982" s="49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47"/>
      <c r="B983" s="48"/>
      <c r="D983" s="48"/>
      <c r="E983" s="49"/>
      <c r="F983" s="49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47"/>
      <c r="B984" s="48"/>
      <c r="D984" s="48"/>
      <c r="E984" s="49"/>
      <c r="F984" s="49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47"/>
      <c r="B985" s="48"/>
      <c r="D985" s="48"/>
      <c r="E985" s="49"/>
      <c r="F985" s="49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47"/>
      <c r="B986" s="48"/>
      <c r="D986" s="48"/>
      <c r="E986" s="49"/>
      <c r="F986" s="49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47"/>
      <c r="B987" s="48"/>
      <c r="D987" s="48"/>
      <c r="E987" s="49"/>
      <c r="F987" s="49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47"/>
      <c r="B988" s="48"/>
      <c r="D988" s="48"/>
      <c r="E988" s="49"/>
      <c r="F988" s="49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47"/>
      <c r="B989" s="48"/>
      <c r="D989" s="48"/>
      <c r="E989" s="49"/>
      <c r="F989" s="49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47"/>
      <c r="B990" s="48"/>
      <c r="D990" s="48"/>
      <c r="E990" s="49"/>
      <c r="F990" s="49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47"/>
      <c r="B991" s="48"/>
      <c r="D991" s="48"/>
      <c r="E991" s="49"/>
      <c r="F991" s="49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47"/>
      <c r="B992" s="48"/>
      <c r="D992" s="48"/>
      <c r="E992" s="49"/>
      <c r="F992" s="49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47"/>
      <c r="B993" s="48"/>
      <c r="D993" s="48"/>
      <c r="E993" s="49"/>
      <c r="F993" s="49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47"/>
      <c r="B994" s="48"/>
      <c r="D994" s="48"/>
      <c r="E994" s="49"/>
      <c r="F994" s="49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47"/>
      <c r="B995" s="48"/>
      <c r="D995" s="48"/>
      <c r="E995" s="49"/>
      <c r="F995" s="49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47"/>
      <c r="B996" s="48"/>
      <c r="D996" s="48"/>
      <c r="E996" s="49"/>
      <c r="F996" s="49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47"/>
      <c r="B997" s="48"/>
      <c r="D997" s="48"/>
      <c r="E997" s="49"/>
      <c r="F997" s="49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47"/>
      <c r="B998" s="48"/>
      <c r="D998" s="48"/>
      <c r="E998" s="49"/>
      <c r="F998" s="49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47"/>
      <c r="B999" s="48"/>
      <c r="D999" s="48"/>
      <c r="E999" s="49"/>
      <c r="F999" s="49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47"/>
      <c r="B1000" s="48"/>
      <c r="D1000" s="48"/>
      <c r="E1000" s="49"/>
      <c r="F1000" s="49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47"/>
      <c r="B1001" s="48"/>
      <c r="D1001" s="48"/>
      <c r="E1001" s="49"/>
      <c r="F1001" s="49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47"/>
      <c r="B1002" s="48"/>
      <c r="D1002" s="48"/>
      <c r="E1002" s="49"/>
      <c r="F1002" s="49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47"/>
      <c r="B1003" s="48"/>
      <c r="D1003" s="48"/>
      <c r="E1003" s="49"/>
      <c r="F1003" s="49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47"/>
      <c r="B1004" s="48"/>
      <c r="D1004" s="48"/>
      <c r="E1004" s="49"/>
      <c r="F1004" s="49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47"/>
      <c r="B1005" s="48"/>
      <c r="D1005" s="48"/>
      <c r="E1005" s="49"/>
      <c r="F1005" s="49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47"/>
      <c r="B1006" s="48"/>
      <c r="D1006" s="48"/>
      <c r="E1006" s="49"/>
      <c r="F1006" s="49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47"/>
      <c r="B1007" s="48"/>
      <c r="D1007" s="48"/>
      <c r="E1007" s="49"/>
      <c r="F1007" s="49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47"/>
      <c r="B1008" s="48"/>
      <c r="D1008" s="48"/>
      <c r="E1008" s="49"/>
      <c r="F1008" s="49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47"/>
      <c r="B1009" s="48"/>
      <c r="D1009" s="48"/>
      <c r="E1009" s="49"/>
      <c r="F1009" s="49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47"/>
      <c r="B1010" s="48"/>
      <c r="D1010" s="48"/>
      <c r="E1010" s="49"/>
      <c r="F1010" s="49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47"/>
      <c r="B1011" s="48"/>
      <c r="D1011" s="48"/>
      <c r="E1011" s="49"/>
      <c r="F1011" s="49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47"/>
      <c r="B1012" s="48"/>
      <c r="D1012" s="48"/>
      <c r="E1012" s="49"/>
      <c r="F1012" s="49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47"/>
      <c r="B1013" s="48"/>
      <c r="D1013" s="48"/>
      <c r="E1013" s="49"/>
      <c r="F1013" s="49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47"/>
      <c r="B1014" s="48"/>
      <c r="D1014" s="48"/>
      <c r="E1014" s="49"/>
      <c r="F1014" s="49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47"/>
      <c r="B1015" s="48"/>
      <c r="D1015" s="48"/>
      <c r="E1015" s="49"/>
      <c r="F1015" s="49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47"/>
      <c r="B1016" s="48"/>
      <c r="D1016" s="48"/>
      <c r="E1016" s="49"/>
      <c r="F1016" s="49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47"/>
      <c r="B1017" s="48"/>
      <c r="D1017" s="48"/>
      <c r="E1017" s="49"/>
      <c r="F1017" s="49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47"/>
      <c r="B1018" s="48"/>
      <c r="D1018" s="48"/>
      <c r="E1018" s="49"/>
      <c r="F1018" s="49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47"/>
      <c r="B1019" s="48"/>
      <c r="D1019" s="48"/>
      <c r="E1019" s="49"/>
      <c r="F1019" s="49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47"/>
      <c r="B1020" s="48"/>
      <c r="D1020" s="48"/>
      <c r="E1020" s="49"/>
      <c r="F1020" s="49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47"/>
      <c r="B1021" s="48"/>
      <c r="D1021" s="48"/>
      <c r="E1021" s="49"/>
      <c r="F1021" s="49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47"/>
      <c r="B1022" s="48"/>
      <c r="D1022" s="48"/>
      <c r="E1022" s="49"/>
      <c r="F1022" s="49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47"/>
      <c r="B1023" s="48"/>
      <c r="D1023" s="48"/>
      <c r="E1023" s="49"/>
      <c r="F1023" s="49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47"/>
      <c r="B1024" s="48"/>
      <c r="D1024" s="48"/>
      <c r="E1024" s="49"/>
      <c r="F1024" s="49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47"/>
      <c r="B1025" s="48"/>
      <c r="D1025" s="48"/>
      <c r="E1025" s="49"/>
      <c r="F1025" s="49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47"/>
      <c r="B1026" s="48"/>
      <c r="D1026" s="48"/>
      <c r="E1026" s="49"/>
      <c r="F1026" s="49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47"/>
      <c r="B1027" s="48"/>
      <c r="D1027" s="48"/>
      <c r="E1027" s="49"/>
      <c r="F1027" s="49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47"/>
      <c r="B1028" s="48"/>
      <c r="D1028" s="48"/>
      <c r="E1028" s="49"/>
      <c r="F1028" s="49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47"/>
      <c r="B1029" s="48"/>
      <c r="D1029" s="48"/>
      <c r="E1029" s="49"/>
      <c r="F1029" s="49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47"/>
      <c r="B1030" s="48"/>
      <c r="D1030" s="48"/>
      <c r="E1030" s="49"/>
      <c r="F1030" s="49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5" max="5" width="16.14"/>
  </cols>
  <sheetData>
    <row r="1">
      <c r="A1" s="52" t="s">
        <v>167</v>
      </c>
    </row>
    <row r="2">
      <c r="A2" s="53"/>
    </row>
    <row r="3">
      <c r="A3" s="54" t="s">
        <v>168</v>
      </c>
      <c r="B3" s="54" t="s">
        <v>169</v>
      </c>
      <c r="C3" s="54" t="s">
        <v>170</v>
      </c>
      <c r="D3" s="54" t="s">
        <v>171</v>
      </c>
      <c r="E3" s="54" t="s">
        <v>1</v>
      </c>
      <c r="F3" s="54" t="s">
        <v>172</v>
      </c>
      <c r="G3" s="54" t="s">
        <v>173</v>
      </c>
      <c r="H3" s="54" t="s">
        <v>174</v>
      </c>
      <c r="I3" s="54" t="s">
        <v>175</v>
      </c>
      <c r="J3" s="54" t="s">
        <v>176</v>
      </c>
      <c r="K3" s="54" t="s">
        <v>177</v>
      </c>
      <c r="L3" s="54" t="s">
        <v>178</v>
      </c>
      <c r="M3" s="54" t="s">
        <v>179</v>
      </c>
      <c r="N3" s="54" t="s">
        <v>180</v>
      </c>
      <c r="O3" s="54" t="s">
        <v>181</v>
      </c>
      <c r="P3" s="54" t="s">
        <v>182</v>
      </c>
      <c r="Q3" s="54" t="s">
        <v>183</v>
      </c>
      <c r="R3" s="54" t="s">
        <v>184</v>
      </c>
      <c r="S3" s="54" t="s">
        <v>185</v>
      </c>
      <c r="T3" s="54" t="s">
        <v>186</v>
      </c>
      <c r="U3" s="54" t="s">
        <v>187</v>
      </c>
      <c r="V3" s="54" t="s">
        <v>188</v>
      </c>
      <c r="W3" s="54" t="s">
        <v>189</v>
      </c>
      <c r="X3" s="54" t="s">
        <v>190</v>
      </c>
      <c r="Y3" s="54" t="s">
        <v>191</v>
      </c>
      <c r="Z3" s="54" t="s">
        <v>192</v>
      </c>
      <c r="AA3" s="54" t="s">
        <v>193</v>
      </c>
      <c r="AB3" s="54" t="s">
        <v>194</v>
      </c>
      <c r="AC3" s="54" t="s">
        <v>195</v>
      </c>
    </row>
    <row r="4">
      <c r="A4" s="55" t="s">
        <v>14</v>
      </c>
      <c r="B4" s="55" t="s">
        <v>196</v>
      </c>
      <c r="C4" s="55" t="s">
        <v>1</v>
      </c>
      <c r="D4" s="56"/>
      <c r="E4" s="55" t="s">
        <v>15</v>
      </c>
      <c r="F4" s="57">
        <v>30.0</v>
      </c>
      <c r="G4" s="57">
        <v>7.5</v>
      </c>
      <c r="H4" s="57">
        <v>2.0</v>
      </c>
      <c r="I4" s="58">
        <v>46097.0</v>
      </c>
      <c r="J4" s="58">
        <v>46097.0</v>
      </c>
      <c r="K4" s="58">
        <v>46097.0</v>
      </c>
      <c r="L4" s="58">
        <v>46097.0</v>
      </c>
      <c r="M4" s="56"/>
      <c r="N4" s="55" t="s">
        <v>197</v>
      </c>
      <c r="O4" s="59" t="s">
        <v>198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</row>
    <row r="5">
      <c r="A5" s="60" t="s">
        <v>17</v>
      </c>
      <c r="B5" s="60" t="s">
        <v>19</v>
      </c>
      <c r="C5" s="60" t="s">
        <v>199</v>
      </c>
      <c r="D5" s="60" t="s">
        <v>20</v>
      </c>
      <c r="E5" s="60" t="s">
        <v>15</v>
      </c>
      <c r="F5" s="61">
        <v>10.0</v>
      </c>
      <c r="G5" s="61">
        <v>2.5</v>
      </c>
      <c r="H5" s="61">
        <v>1.0</v>
      </c>
      <c r="I5" s="62">
        <v>46097.0</v>
      </c>
      <c r="J5" s="62">
        <v>46097.0</v>
      </c>
      <c r="K5" s="62">
        <v>46097.0</v>
      </c>
      <c r="L5" s="62">
        <v>46097.0</v>
      </c>
      <c r="M5" s="63"/>
      <c r="N5" s="60" t="s">
        <v>197</v>
      </c>
      <c r="O5" s="64" t="s">
        <v>198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>
      <c r="A6" s="60" t="s">
        <v>21</v>
      </c>
      <c r="B6" s="60" t="s">
        <v>22</v>
      </c>
      <c r="C6" s="60" t="s">
        <v>199</v>
      </c>
      <c r="D6" s="60" t="s">
        <v>20</v>
      </c>
      <c r="E6" s="60" t="s">
        <v>15</v>
      </c>
      <c r="F6" s="61">
        <v>10.0</v>
      </c>
      <c r="G6" s="61">
        <v>2.5</v>
      </c>
      <c r="H6" s="61">
        <v>1.0</v>
      </c>
      <c r="I6" s="62">
        <v>46097.0</v>
      </c>
      <c r="J6" s="62">
        <v>46097.0</v>
      </c>
      <c r="K6" s="62">
        <v>46097.0</v>
      </c>
      <c r="L6" s="62">
        <v>46097.0</v>
      </c>
      <c r="M6" s="60" t="s">
        <v>17</v>
      </c>
      <c r="N6" s="60" t="s">
        <v>197</v>
      </c>
      <c r="O6" s="64" t="s">
        <v>198</v>
      </c>
      <c r="P6" s="63"/>
      <c r="Q6" s="65" t="s">
        <v>200</v>
      </c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>
      <c r="A7" s="60" t="s">
        <v>23</v>
      </c>
      <c r="B7" s="60" t="s">
        <v>25</v>
      </c>
      <c r="C7" s="60" t="s">
        <v>199</v>
      </c>
      <c r="D7" s="60" t="s">
        <v>20</v>
      </c>
      <c r="E7" s="60" t="s">
        <v>15</v>
      </c>
      <c r="F7" s="61">
        <v>10.0</v>
      </c>
      <c r="G7" s="61">
        <v>2.5</v>
      </c>
      <c r="H7" s="61">
        <v>1.0</v>
      </c>
      <c r="I7" s="62">
        <v>46097.0</v>
      </c>
      <c r="J7" s="62">
        <v>46097.0</v>
      </c>
      <c r="K7" s="62">
        <v>46097.0</v>
      </c>
      <c r="L7" s="62">
        <v>46097.0</v>
      </c>
      <c r="M7" s="60" t="s">
        <v>21</v>
      </c>
      <c r="N7" s="60" t="s">
        <v>197</v>
      </c>
      <c r="O7" s="64" t="s">
        <v>198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</row>
    <row r="8">
      <c r="A8" s="66" t="s">
        <v>26</v>
      </c>
      <c r="B8" s="66" t="s">
        <v>28</v>
      </c>
      <c r="C8" s="66" t="s">
        <v>201</v>
      </c>
      <c r="D8" s="67"/>
      <c r="E8" s="66" t="s">
        <v>15</v>
      </c>
      <c r="F8" s="68">
        <v>0.0</v>
      </c>
      <c r="G8" s="68">
        <v>0.0</v>
      </c>
      <c r="H8" s="68">
        <v>0.0</v>
      </c>
      <c r="I8" s="69">
        <v>46097.0</v>
      </c>
      <c r="J8" s="69">
        <v>46097.0</v>
      </c>
      <c r="K8" s="69">
        <v>46097.0</v>
      </c>
      <c r="L8" s="69">
        <v>46097.0</v>
      </c>
      <c r="M8" s="66" t="s">
        <v>202</v>
      </c>
      <c r="N8" s="66" t="s">
        <v>203</v>
      </c>
      <c r="O8" s="70" t="s">
        <v>204</v>
      </c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</row>
    <row r="9">
      <c r="A9" s="55" t="s">
        <v>29</v>
      </c>
      <c r="B9" s="55" t="s">
        <v>205</v>
      </c>
      <c r="C9" s="55" t="s">
        <v>1</v>
      </c>
      <c r="D9" s="56"/>
      <c r="E9" s="55" t="s">
        <v>206</v>
      </c>
      <c r="F9" s="57">
        <v>24.0</v>
      </c>
      <c r="G9" s="57">
        <v>6.0</v>
      </c>
      <c r="H9" s="57">
        <v>2.0</v>
      </c>
      <c r="I9" s="58">
        <v>46098.0</v>
      </c>
      <c r="J9" s="58">
        <v>46098.0</v>
      </c>
      <c r="K9" s="58">
        <v>46098.0</v>
      </c>
      <c r="L9" s="58">
        <v>46098.0</v>
      </c>
      <c r="M9" s="55" t="s">
        <v>26</v>
      </c>
      <c r="N9" s="55" t="s">
        <v>197</v>
      </c>
      <c r="O9" s="59" t="s">
        <v>198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>
      <c r="A10" s="60" t="s">
        <v>31</v>
      </c>
      <c r="B10" s="60" t="s">
        <v>32</v>
      </c>
      <c r="C10" s="60" t="s">
        <v>199</v>
      </c>
      <c r="D10" s="60" t="s">
        <v>20</v>
      </c>
      <c r="E10" s="60" t="s">
        <v>206</v>
      </c>
      <c r="F10" s="61">
        <v>12.0</v>
      </c>
      <c r="G10" s="61">
        <v>3.0</v>
      </c>
      <c r="H10" s="61">
        <v>1.0</v>
      </c>
      <c r="I10" s="62">
        <v>46098.0</v>
      </c>
      <c r="J10" s="62">
        <v>46098.0</v>
      </c>
      <c r="K10" s="62">
        <v>46098.0</v>
      </c>
      <c r="L10" s="62">
        <v>46098.0</v>
      </c>
      <c r="M10" s="60" t="s">
        <v>26</v>
      </c>
      <c r="N10" s="60" t="s">
        <v>197</v>
      </c>
      <c r="O10" s="64" t="s">
        <v>198</v>
      </c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</row>
    <row r="11">
      <c r="A11" s="60" t="s">
        <v>33</v>
      </c>
      <c r="B11" s="60" t="s">
        <v>34</v>
      </c>
      <c r="C11" s="60" t="s">
        <v>199</v>
      </c>
      <c r="D11" s="60" t="s">
        <v>20</v>
      </c>
      <c r="E11" s="60" t="s">
        <v>206</v>
      </c>
      <c r="F11" s="61">
        <v>12.0</v>
      </c>
      <c r="G11" s="61">
        <v>3.0</v>
      </c>
      <c r="H11" s="61">
        <v>1.0</v>
      </c>
      <c r="I11" s="62">
        <v>46098.0</v>
      </c>
      <c r="J11" s="62">
        <v>46098.0</v>
      </c>
      <c r="K11" s="62">
        <v>46098.0</v>
      </c>
      <c r="L11" s="62">
        <v>46098.0</v>
      </c>
      <c r="M11" s="60" t="s">
        <v>31</v>
      </c>
      <c r="N11" s="60" t="s">
        <v>197</v>
      </c>
      <c r="O11" s="64" t="s">
        <v>198</v>
      </c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</row>
    <row r="12">
      <c r="A12" s="66" t="s">
        <v>35</v>
      </c>
      <c r="B12" s="66" t="s">
        <v>36</v>
      </c>
      <c r="C12" s="66" t="s">
        <v>201</v>
      </c>
      <c r="D12" s="67"/>
      <c r="E12" s="66" t="s">
        <v>206</v>
      </c>
      <c r="F12" s="68">
        <v>0.0</v>
      </c>
      <c r="G12" s="68">
        <v>0.0</v>
      </c>
      <c r="H12" s="68">
        <v>0.0</v>
      </c>
      <c r="I12" s="69">
        <v>46098.0</v>
      </c>
      <c r="J12" s="69">
        <v>46098.0</v>
      </c>
      <c r="K12" s="69">
        <v>46098.0</v>
      </c>
      <c r="L12" s="69">
        <v>46098.0</v>
      </c>
      <c r="M12" s="66" t="s">
        <v>207</v>
      </c>
      <c r="N12" s="66" t="s">
        <v>203</v>
      </c>
      <c r="O12" s="70" t="s">
        <v>204</v>
      </c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</row>
    <row r="13">
      <c r="A13" s="55" t="s">
        <v>37</v>
      </c>
      <c r="B13" s="55" t="s">
        <v>208</v>
      </c>
      <c r="C13" s="55" t="s">
        <v>1</v>
      </c>
      <c r="D13" s="56"/>
      <c r="E13" s="55" t="s">
        <v>38</v>
      </c>
      <c r="F13" s="57">
        <v>138.0</v>
      </c>
      <c r="G13" s="57">
        <v>34.5</v>
      </c>
      <c r="H13" s="57">
        <v>9.0</v>
      </c>
      <c r="I13" s="58">
        <v>46099.0</v>
      </c>
      <c r="J13" s="58">
        <v>46106.0</v>
      </c>
      <c r="K13" s="58">
        <v>46099.0</v>
      </c>
      <c r="L13" s="58">
        <v>46106.0</v>
      </c>
      <c r="M13" s="55" t="s">
        <v>35</v>
      </c>
      <c r="N13" s="55" t="s">
        <v>197</v>
      </c>
      <c r="O13" s="59" t="s">
        <v>198</v>
      </c>
      <c r="P13" s="59" t="s">
        <v>198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>
      <c r="A14" s="60" t="s">
        <v>39</v>
      </c>
      <c r="B14" s="60" t="s">
        <v>40</v>
      </c>
      <c r="C14" s="60" t="s">
        <v>199</v>
      </c>
      <c r="D14" s="60" t="s">
        <v>20</v>
      </c>
      <c r="E14" s="60" t="s">
        <v>38</v>
      </c>
      <c r="F14" s="61">
        <v>30.0</v>
      </c>
      <c r="G14" s="61">
        <v>7.5</v>
      </c>
      <c r="H14" s="61">
        <v>2.0</v>
      </c>
      <c r="I14" s="62">
        <v>46099.0</v>
      </c>
      <c r="J14" s="62">
        <v>46099.0</v>
      </c>
      <c r="K14" s="62">
        <v>46099.0</v>
      </c>
      <c r="L14" s="62">
        <v>46099.0</v>
      </c>
      <c r="M14" s="60" t="s">
        <v>35</v>
      </c>
      <c r="N14" s="60" t="s">
        <v>197</v>
      </c>
      <c r="O14" s="64" t="s">
        <v>198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</row>
    <row r="15">
      <c r="A15" s="60" t="s">
        <v>41</v>
      </c>
      <c r="B15" s="60" t="s">
        <v>42</v>
      </c>
      <c r="C15" s="60" t="s">
        <v>199</v>
      </c>
      <c r="D15" s="60" t="s">
        <v>20</v>
      </c>
      <c r="E15" s="60" t="s">
        <v>38</v>
      </c>
      <c r="F15" s="61">
        <v>8.0</v>
      </c>
      <c r="G15" s="61">
        <v>2.0</v>
      </c>
      <c r="H15" s="61">
        <v>1.0</v>
      </c>
      <c r="I15" s="62">
        <v>46099.0</v>
      </c>
      <c r="J15" s="62">
        <v>46099.0</v>
      </c>
      <c r="K15" s="62">
        <v>46099.0</v>
      </c>
      <c r="L15" s="62">
        <v>46099.0</v>
      </c>
      <c r="M15" s="60" t="s">
        <v>39</v>
      </c>
      <c r="N15" s="60" t="s">
        <v>197</v>
      </c>
      <c r="O15" s="64" t="s">
        <v>198</v>
      </c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</row>
    <row r="16">
      <c r="A16" s="60" t="s">
        <v>43</v>
      </c>
      <c r="B16" s="60" t="s">
        <v>44</v>
      </c>
      <c r="C16" s="60" t="s">
        <v>199</v>
      </c>
      <c r="D16" s="60" t="s">
        <v>20</v>
      </c>
      <c r="E16" s="60" t="s">
        <v>38</v>
      </c>
      <c r="F16" s="61">
        <v>8.0</v>
      </c>
      <c r="G16" s="61">
        <v>2.0</v>
      </c>
      <c r="H16" s="61">
        <v>1.0</v>
      </c>
      <c r="I16" s="62">
        <v>46099.0</v>
      </c>
      <c r="J16" s="62">
        <v>46099.0</v>
      </c>
      <c r="K16" s="62">
        <v>46099.0</v>
      </c>
      <c r="L16" s="62">
        <v>46099.0</v>
      </c>
      <c r="M16" s="60" t="s">
        <v>39</v>
      </c>
      <c r="N16" s="60" t="s">
        <v>197</v>
      </c>
      <c r="O16" s="64" t="s">
        <v>198</v>
      </c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</row>
    <row r="17">
      <c r="A17" s="60" t="s">
        <v>45</v>
      </c>
      <c r="B17" s="60" t="s">
        <v>46</v>
      </c>
      <c r="C17" s="60" t="s">
        <v>199</v>
      </c>
      <c r="D17" s="60" t="s">
        <v>20</v>
      </c>
      <c r="E17" s="60" t="s">
        <v>38</v>
      </c>
      <c r="F17" s="61">
        <v>14.0</v>
      </c>
      <c r="G17" s="61">
        <v>3.5</v>
      </c>
      <c r="H17" s="61">
        <v>1.0</v>
      </c>
      <c r="I17" s="62">
        <v>46099.0</v>
      </c>
      <c r="J17" s="62">
        <v>46099.0</v>
      </c>
      <c r="K17" s="62">
        <v>46099.0</v>
      </c>
      <c r="L17" s="62">
        <v>46099.0</v>
      </c>
      <c r="M17" s="60" t="s">
        <v>39</v>
      </c>
      <c r="N17" s="60" t="s">
        <v>197</v>
      </c>
      <c r="O17" s="64" t="s">
        <v>198</v>
      </c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</row>
    <row r="18">
      <c r="A18" s="60" t="s">
        <v>47</v>
      </c>
      <c r="B18" s="60" t="s">
        <v>49</v>
      </c>
      <c r="C18" s="60" t="s">
        <v>199</v>
      </c>
      <c r="D18" s="60" t="s">
        <v>20</v>
      </c>
      <c r="E18" s="60" t="s">
        <v>38</v>
      </c>
      <c r="F18" s="61">
        <v>30.0</v>
      </c>
      <c r="G18" s="61">
        <v>7.5</v>
      </c>
      <c r="H18" s="61">
        <v>2.0</v>
      </c>
      <c r="I18" s="62">
        <v>46100.0</v>
      </c>
      <c r="J18" s="62">
        <v>46100.0</v>
      </c>
      <c r="K18" s="62">
        <v>46100.0</v>
      </c>
      <c r="L18" s="62">
        <v>46100.0</v>
      </c>
      <c r="M18" s="60" t="s">
        <v>39</v>
      </c>
      <c r="N18" s="60" t="s">
        <v>197</v>
      </c>
      <c r="O18" s="64" t="s">
        <v>198</v>
      </c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</row>
    <row r="19">
      <c r="A19" s="60" t="s">
        <v>50</v>
      </c>
      <c r="B19" s="60" t="s">
        <v>51</v>
      </c>
      <c r="C19" s="60" t="s">
        <v>199</v>
      </c>
      <c r="D19" s="60" t="s">
        <v>20</v>
      </c>
      <c r="E19" s="60" t="s">
        <v>38</v>
      </c>
      <c r="F19" s="61">
        <v>30.0</v>
      </c>
      <c r="G19" s="61">
        <v>7.5</v>
      </c>
      <c r="H19" s="61">
        <v>2.0</v>
      </c>
      <c r="I19" s="62">
        <v>46101.0</v>
      </c>
      <c r="J19" s="62">
        <v>46101.0</v>
      </c>
      <c r="K19" s="62">
        <v>46101.0</v>
      </c>
      <c r="L19" s="62">
        <v>46101.0</v>
      </c>
      <c r="M19" s="60" t="s">
        <v>47</v>
      </c>
      <c r="N19" s="60" t="s">
        <v>197</v>
      </c>
      <c r="O19" s="64" t="s">
        <v>198</v>
      </c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</row>
    <row r="20">
      <c r="A20" s="60" t="s">
        <v>52</v>
      </c>
      <c r="B20" s="60" t="s">
        <v>53</v>
      </c>
      <c r="C20" s="60" t="s">
        <v>199</v>
      </c>
      <c r="D20" s="60" t="s">
        <v>20</v>
      </c>
      <c r="E20" s="60" t="s">
        <v>38</v>
      </c>
      <c r="F20" s="61">
        <v>48.0</v>
      </c>
      <c r="G20" s="61">
        <v>12.0</v>
      </c>
      <c r="H20" s="61">
        <v>3.0</v>
      </c>
      <c r="I20" s="62">
        <v>46104.0</v>
      </c>
      <c r="J20" s="62">
        <v>46106.0</v>
      </c>
      <c r="K20" s="62">
        <v>46104.0</v>
      </c>
      <c r="L20" s="62">
        <v>46106.0</v>
      </c>
      <c r="M20" s="60" t="s">
        <v>50</v>
      </c>
      <c r="N20" s="60" t="s">
        <v>197</v>
      </c>
      <c r="O20" s="63"/>
      <c r="P20" s="64" t="s">
        <v>198</v>
      </c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</row>
    <row r="21">
      <c r="A21" s="60" t="s">
        <v>54</v>
      </c>
      <c r="B21" s="60" t="s">
        <v>55</v>
      </c>
      <c r="C21" s="60" t="s">
        <v>199</v>
      </c>
      <c r="D21" s="60" t="s">
        <v>20</v>
      </c>
      <c r="E21" s="60" t="s">
        <v>38</v>
      </c>
      <c r="F21" s="61">
        <v>24.0</v>
      </c>
      <c r="G21" s="61">
        <v>6.0</v>
      </c>
      <c r="H21" s="61">
        <v>2.0</v>
      </c>
      <c r="I21" s="62">
        <v>46104.0</v>
      </c>
      <c r="J21" s="62">
        <v>46105.0</v>
      </c>
      <c r="K21" s="62">
        <v>46104.0</v>
      </c>
      <c r="L21" s="62">
        <v>46105.0</v>
      </c>
      <c r="M21" s="60" t="s">
        <v>52</v>
      </c>
      <c r="N21" s="60" t="s">
        <v>197</v>
      </c>
      <c r="O21" s="63"/>
      <c r="P21" s="64" t="s">
        <v>198</v>
      </c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</row>
    <row r="22">
      <c r="A22" s="60" t="s">
        <v>209</v>
      </c>
      <c r="B22" s="60" t="s">
        <v>57</v>
      </c>
      <c r="C22" s="60" t="s">
        <v>199</v>
      </c>
      <c r="D22" s="60" t="s">
        <v>20</v>
      </c>
      <c r="E22" s="60" t="s">
        <v>38</v>
      </c>
      <c r="F22" s="61">
        <v>24.0</v>
      </c>
      <c r="G22" s="61">
        <v>6.0</v>
      </c>
      <c r="H22" s="61">
        <v>2.0</v>
      </c>
      <c r="I22" s="62">
        <v>46105.0</v>
      </c>
      <c r="J22" s="62">
        <v>46106.0</v>
      </c>
      <c r="K22" s="62">
        <v>46105.0</v>
      </c>
      <c r="L22" s="62">
        <v>46106.0</v>
      </c>
      <c r="M22" s="60" t="s">
        <v>52</v>
      </c>
      <c r="N22" s="60" t="s">
        <v>197</v>
      </c>
      <c r="O22" s="63"/>
      <c r="P22" s="64" t="s">
        <v>198</v>
      </c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</row>
    <row r="23">
      <c r="A23" s="66" t="s">
        <v>58</v>
      </c>
      <c r="B23" s="66" t="s">
        <v>59</v>
      </c>
      <c r="C23" s="66" t="s">
        <v>201</v>
      </c>
      <c r="D23" s="67"/>
      <c r="E23" s="66" t="s">
        <v>38</v>
      </c>
      <c r="F23" s="68">
        <v>0.0</v>
      </c>
      <c r="G23" s="68">
        <v>0.0</v>
      </c>
      <c r="H23" s="68">
        <v>0.0</v>
      </c>
      <c r="I23" s="69">
        <v>46106.0</v>
      </c>
      <c r="J23" s="69">
        <v>46106.0</v>
      </c>
      <c r="K23" s="69">
        <v>46106.0</v>
      </c>
      <c r="L23" s="69">
        <v>46106.0</v>
      </c>
      <c r="M23" s="66" t="s">
        <v>52</v>
      </c>
      <c r="N23" s="66" t="s">
        <v>203</v>
      </c>
      <c r="O23" s="67"/>
      <c r="P23" s="70" t="s">
        <v>204</v>
      </c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</row>
    <row r="24">
      <c r="A24" s="55" t="s">
        <v>60</v>
      </c>
      <c r="B24" s="55" t="s">
        <v>210</v>
      </c>
      <c r="C24" s="55" t="s">
        <v>1</v>
      </c>
      <c r="D24" s="56"/>
      <c r="E24" s="55" t="s">
        <v>61</v>
      </c>
      <c r="F24" s="57">
        <v>954.0</v>
      </c>
      <c r="G24" s="57">
        <v>238.5</v>
      </c>
      <c r="H24" s="57">
        <v>60.0</v>
      </c>
      <c r="I24" s="58">
        <v>46107.0</v>
      </c>
      <c r="J24" s="58">
        <v>46126.0</v>
      </c>
      <c r="K24" s="58">
        <v>46107.0</v>
      </c>
      <c r="L24" s="58">
        <v>46126.0</v>
      </c>
      <c r="M24" s="55" t="s">
        <v>58</v>
      </c>
      <c r="N24" s="55" t="s">
        <v>197</v>
      </c>
      <c r="O24" s="56"/>
      <c r="P24" s="59" t="s">
        <v>198</v>
      </c>
      <c r="Q24" s="59" t="s">
        <v>198</v>
      </c>
      <c r="R24" s="59" t="s">
        <v>198</v>
      </c>
      <c r="S24" s="59" t="s">
        <v>198</v>
      </c>
      <c r="T24" s="56"/>
      <c r="U24" s="56"/>
      <c r="V24" s="56"/>
      <c r="W24" s="56"/>
      <c r="X24" s="56"/>
      <c r="Y24" s="56"/>
      <c r="Z24" s="56"/>
      <c r="AA24" s="56"/>
      <c r="AB24" s="56"/>
      <c r="AC24" s="56"/>
    </row>
    <row r="25">
      <c r="A25" s="60" t="s">
        <v>62</v>
      </c>
      <c r="B25" s="60" t="s">
        <v>64</v>
      </c>
      <c r="C25" s="60" t="s">
        <v>199</v>
      </c>
      <c r="D25" s="60" t="s">
        <v>65</v>
      </c>
      <c r="E25" s="60" t="s">
        <v>61</v>
      </c>
      <c r="F25" s="61">
        <v>36.0</v>
      </c>
      <c r="G25" s="61">
        <v>9.0</v>
      </c>
      <c r="H25" s="61">
        <v>2.0</v>
      </c>
      <c r="I25" s="62">
        <v>46107.0</v>
      </c>
      <c r="J25" s="62">
        <v>46114.0</v>
      </c>
      <c r="K25" s="62">
        <v>46107.0</v>
      </c>
      <c r="L25" s="62">
        <v>46114.0</v>
      </c>
      <c r="M25" s="60" t="s">
        <v>58</v>
      </c>
      <c r="N25" s="60" t="s">
        <v>197</v>
      </c>
      <c r="O25" s="63"/>
      <c r="P25" s="64" t="s">
        <v>198</v>
      </c>
      <c r="Q25" s="64" t="s">
        <v>198</v>
      </c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</row>
    <row r="26">
      <c r="A26" s="60" t="s">
        <v>66</v>
      </c>
      <c r="B26" s="60" t="s">
        <v>67</v>
      </c>
      <c r="C26" s="60" t="s">
        <v>199</v>
      </c>
      <c r="D26" s="60" t="s">
        <v>68</v>
      </c>
      <c r="E26" s="60" t="s">
        <v>61</v>
      </c>
      <c r="F26" s="61">
        <v>114.0</v>
      </c>
      <c r="G26" s="61">
        <v>28.5</v>
      </c>
      <c r="H26" s="61">
        <v>7.0</v>
      </c>
      <c r="I26" s="62">
        <v>46114.0</v>
      </c>
      <c r="J26" s="62">
        <v>46126.0</v>
      </c>
      <c r="K26" s="62">
        <v>46114.0</v>
      </c>
      <c r="L26" s="62">
        <v>46126.0</v>
      </c>
      <c r="M26" s="60" t="s">
        <v>62</v>
      </c>
      <c r="N26" s="60" t="s">
        <v>197</v>
      </c>
      <c r="O26" s="63"/>
      <c r="P26" s="63"/>
      <c r="Q26" s="64" t="s">
        <v>198</v>
      </c>
      <c r="R26" s="64" t="s">
        <v>198</v>
      </c>
      <c r="S26" s="64" t="s">
        <v>198</v>
      </c>
      <c r="T26" s="63"/>
      <c r="U26" s="63"/>
      <c r="V26" s="63"/>
      <c r="W26" s="63"/>
      <c r="X26" s="63"/>
      <c r="Y26" s="63"/>
      <c r="Z26" s="63"/>
      <c r="AA26" s="63"/>
      <c r="AB26" s="63"/>
      <c r="AC26" s="63"/>
    </row>
    <row r="27">
      <c r="A27" s="60" t="s">
        <v>69</v>
      </c>
      <c r="B27" s="60" t="s">
        <v>70</v>
      </c>
      <c r="C27" s="60" t="s">
        <v>199</v>
      </c>
      <c r="D27" s="60" t="s">
        <v>71</v>
      </c>
      <c r="E27" s="60" t="s">
        <v>61</v>
      </c>
      <c r="F27" s="61">
        <v>38.0</v>
      </c>
      <c r="G27" s="61">
        <v>9.5</v>
      </c>
      <c r="H27" s="61">
        <v>2.0</v>
      </c>
      <c r="I27" s="62">
        <v>46114.0</v>
      </c>
      <c r="J27" s="62">
        <v>46121.0</v>
      </c>
      <c r="K27" s="62">
        <v>46114.0</v>
      </c>
      <c r="L27" s="62">
        <v>46121.0</v>
      </c>
      <c r="M27" s="60" t="s">
        <v>66</v>
      </c>
      <c r="N27" s="60" t="s">
        <v>197</v>
      </c>
      <c r="O27" s="63"/>
      <c r="P27" s="63"/>
      <c r="Q27" s="64" t="s">
        <v>198</v>
      </c>
      <c r="R27" s="64" t="s">
        <v>198</v>
      </c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</row>
    <row r="28">
      <c r="A28" s="60" t="s">
        <v>72</v>
      </c>
      <c r="B28" s="60" t="s">
        <v>73</v>
      </c>
      <c r="C28" s="60" t="s">
        <v>199</v>
      </c>
      <c r="D28" s="60" t="s">
        <v>74</v>
      </c>
      <c r="E28" s="60" t="s">
        <v>61</v>
      </c>
      <c r="F28" s="61">
        <v>38.0</v>
      </c>
      <c r="G28" s="61">
        <v>9.5</v>
      </c>
      <c r="H28" s="61">
        <v>2.0</v>
      </c>
      <c r="I28" s="62">
        <v>46114.0</v>
      </c>
      <c r="J28" s="62">
        <v>46121.0</v>
      </c>
      <c r="K28" s="62">
        <v>46114.0</v>
      </c>
      <c r="L28" s="62">
        <v>46121.0</v>
      </c>
      <c r="M28" s="60" t="s">
        <v>66</v>
      </c>
      <c r="N28" s="60" t="s">
        <v>197</v>
      </c>
      <c r="O28" s="63"/>
      <c r="P28" s="63"/>
      <c r="Q28" s="64" t="s">
        <v>198</v>
      </c>
      <c r="R28" s="64" t="s">
        <v>198</v>
      </c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</row>
    <row r="29">
      <c r="A29" s="60" t="s">
        <v>75</v>
      </c>
      <c r="B29" s="60" t="s">
        <v>76</v>
      </c>
      <c r="C29" s="60" t="s">
        <v>199</v>
      </c>
      <c r="D29" s="60" t="s">
        <v>68</v>
      </c>
      <c r="E29" s="60" t="s">
        <v>61</v>
      </c>
      <c r="F29" s="61">
        <v>38.0</v>
      </c>
      <c r="G29" s="61">
        <v>9.5</v>
      </c>
      <c r="H29" s="61">
        <v>2.0</v>
      </c>
      <c r="I29" s="62">
        <v>46121.0</v>
      </c>
      <c r="J29" s="62">
        <v>46126.0</v>
      </c>
      <c r="K29" s="62">
        <v>46121.0</v>
      </c>
      <c r="L29" s="62">
        <v>46126.0</v>
      </c>
      <c r="M29" s="60" t="s">
        <v>66</v>
      </c>
      <c r="N29" s="60" t="s">
        <v>197</v>
      </c>
      <c r="O29" s="63"/>
      <c r="P29" s="63"/>
      <c r="Q29" s="63"/>
      <c r="R29" s="64" t="s">
        <v>198</v>
      </c>
      <c r="S29" s="64" t="s">
        <v>198</v>
      </c>
      <c r="T29" s="63"/>
      <c r="U29" s="63"/>
      <c r="V29" s="63"/>
      <c r="W29" s="63"/>
      <c r="X29" s="63"/>
      <c r="Y29" s="63"/>
      <c r="Z29" s="63"/>
      <c r="AA29" s="63"/>
      <c r="AB29" s="63"/>
      <c r="AC29" s="63"/>
    </row>
    <row r="30">
      <c r="A30" s="60" t="s">
        <v>77</v>
      </c>
      <c r="B30" s="60" t="s">
        <v>78</v>
      </c>
      <c r="C30" s="60" t="s">
        <v>199</v>
      </c>
      <c r="D30" s="60" t="s">
        <v>79</v>
      </c>
      <c r="E30" s="60" t="s">
        <v>61</v>
      </c>
      <c r="F30" s="61">
        <v>60.0</v>
      </c>
      <c r="G30" s="61">
        <v>15.0</v>
      </c>
      <c r="H30" s="61">
        <v>4.0</v>
      </c>
      <c r="I30" s="62">
        <v>46114.0</v>
      </c>
      <c r="J30" s="62">
        <v>46126.0</v>
      </c>
      <c r="K30" s="62">
        <v>46114.0</v>
      </c>
      <c r="L30" s="62">
        <v>46126.0</v>
      </c>
      <c r="M30" s="60" t="s">
        <v>62</v>
      </c>
      <c r="N30" s="60" t="s">
        <v>197</v>
      </c>
      <c r="O30" s="63"/>
      <c r="P30" s="63"/>
      <c r="Q30" s="64" t="s">
        <v>198</v>
      </c>
      <c r="R30" s="64" t="s">
        <v>198</v>
      </c>
      <c r="S30" s="64" t="s">
        <v>198</v>
      </c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>
      <c r="A31" s="60" t="s">
        <v>80</v>
      </c>
      <c r="B31" s="60" t="s">
        <v>81</v>
      </c>
      <c r="C31" s="60" t="s">
        <v>199</v>
      </c>
      <c r="D31" s="60" t="s">
        <v>79</v>
      </c>
      <c r="E31" s="60" t="s">
        <v>61</v>
      </c>
      <c r="F31" s="61">
        <v>30.0</v>
      </c>
      <c r="G31" s="61">
        <v>7.5</v>
      </c>
      <c r="H31" s="61">
        <v>2.0</v>
      </c>
      <c r="I31" s="62">
        <v>46114.0</v>
      </c>
      <c r="J31" s="62">
        <v>46120.0</v>
      </c>
      <c r="K31" s="62">
        <v>46114.0</v>
      </c>
      <c r="L31" s="62">
        <v>46120.0</v>
      </c>
      <c r="M31" s="60" t="s">
        <v>77</v>
      </c>
      <c r="N31" s="60" t="s">
        <v>197</v>
      </c>
      <c r="O31" s="63"/>
      <c r="P31" s="63"/>
      <c r="Q31" s="64" t="s">
        <v>198</v>
      </c>
      <c r="R31" s="64" t="s">
        <v>198</v>
      </c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</row>
    <row r="32">
      <c r="A32" s="60" t="s">
        <v>82</v>
      </c>
      <c r="B32" s="60" t="s">
        <v>83</v>
      </c>
      <c r="C32" s="60" t="s">
        <v>199</v>
      </c>
      <c r="D32" s="60" t="s">
        <v>79</v>
      </c>
      <c r="E32" s="60" t="s">
        <v>61</v>
      </c>
      <c r="F32" s="61">
        <v>30.0</v>
      </c>
      <c r="G32" s="61">
        <v>7.5</v>
      </c>
      <c r="H32" s="61">
        <v>2.0</v>
      </c>
      <c r="I32" s="62">
        <v>46120.0</v>
      </c>
      <c r="J32" s="62">
        <v>46126.0</v>
      </c>
      <c r="K32" s="62">
        <v>46120.0</v>
      </c>
      <c r="L32" s="62">
        <v>46126.0</v>
      </c>
      <c r="M32" s="60" t="s">
        <v>77</v>
      </c>
      <c r="N32" s="60" t="s">
        <v>197</v>
      </c>
      <c r="O32" s="63"/>
      <c r="P32" s="63"/>
      <c r="Q32" s="63"/>
      <c r="R32" s="64" t="s">
        <v>198</v>
      </c>
      <c r="S32" s="64" t="s">
        <v>198</v>
      </c>
      <c r="T32" s="63"/>
      <c r="U32" s="63"/>
      <c r="V32" s="63"/>
      <c r="W32" s="63"/>
      <c r="X32" s="63"/>
      <c r="Y32" s="63"/>
      <c r="Z32" s="63"/>
      <c r="AA32" s="63"/>
      <c r="AB32" s="63"/>
      <c r="AC32" s="63"/>
    </row>
    <row r="33">
      <c r="A33" s="66" t="s">
        <v>84</v>
      </c>
      <c r="B33" s="66" t="s">
        <v>85</v>
      </c>
      <c r="C33" s="66" t="s">
        <v>201</v>
      </c>
      <c r="D33" s="67"/>
      <c r="E33" s="66" t="s">
        <v>61</v>
      </c>
      <c r="F33" s="68">
        <v>0.0</v>
      </c>
      <c r="G33" s="68">
        <v>0.0</v>
      </c>
      <c r="H33" s="68">
        <v>0.0</v>
      </c>
      <c r="I33" s="69">
        <v>46126.0</v>
      </c>
      <c r="J33" s="69">
        <v>46126.0</v>
      </c>
      <c r="K33" s="69">
        <v>46126.0</v>
      </c>
      <c r="L33" s="69">
        <v>46126.0</v>
      </c>
      <c r="M33" s="66" t="s">
        <v>211</v>
      </c>
      <c r="N33" s="66" t="s">
        <v>203</v>
      </c>
      <c r="O33" s="67"/>
      <c r="P33" s="67"/>
      <c r="Q33" s="67"/>
      <c r="R33" s="67"/>
      <c r="S33" s="70" t="s">
        <v>204</v>
      </c>
      <c r="T33" s="67"/>
      <c r="U33" s="67"/>
      <c r="V33" s="67"/>
      <c r="W33" s="67"/>
      <c r="X33" s="67"/>
      <c r="Y33" s="67"/>
      <c r="Z33" s="67"/>
      <c r="AA33" s="67"/>
      <c r="AB33" s="67"/>
      <c r="AC33" s="67"/>
    </row>
    <row r="34">
      <c r="A34" s="60" t="s">
        <v>86</v>
      </c>
      <c r="B34" s="60" t="s">
        <v>87</v>
      </c>
      <c r="C34" s="60" t="s">
        <v>199</v>
      </c>
      <c r="D34" s="60" t="s">
        <v>68</v>
      </c>
      <c r="E34" s="60" t="s">
        <v>61</v>
      </c>
      <c r="F34" s="61">
        <v>300.0</v>
      </c>
      <c r="G34" s="61">
        <v>75.0</v>
      </c>
      <c r="H34" s="61">
        <v>19.0</v>
      </c>
      <c r="I34" s="62">
        <v>46127.0</v>
      </c>
      <c r="J34" s="71"/>
      <c r="K34" s="62">
        <v>46127.0</v>
      </c>
      <c r="L34" s="71"/>
      <c r="M34" s="60" t="s">
        <v>84</v>
      </c>
      <c r="N34" s="60" t="s">
        <v>197</v>
      </c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</row>
    <row r="35">
      <c r="A35" s="60" t="s">
        <v>88</v>
      </c>
      <c r="B35" s="60" t="s">
        <v>89</v>
      </c>
      <c r="C35" s="60" t="s">
        <v>199</v>
      </c>
      <c r="D35" s="60" t="s">
        <v>68</v>
      </c>
      <c r="E35" s="60" t="s">
        <v>61</v>
      </c>
      <c r="F35" s="61">
        <v>60.0</v>
      </c>
      <c r="G35" s="61">
        <v>15.0</v>
      </c>
      <c r="H35" s="61">
        <v>4.0</v>
      </c>
      <c r="I35" s="62">
        <v>46127.0</v>
      </c>
      <c r="J35" s="62">
        <v>46133.0</v>
      </c>
      <c r="K35" s="62">
        <v>46127.0</v>
      </c>
      <c r="L35" s="62">
        <v>46133.0</v>
      </c>
      <c r="M35" s="60" t="s">
        <v>86</v>
      </c>
      <c r="N35" s="60" t="s">
        <v>197</v>
      </c>
      <c r="O35" s="63"/>
      <c r="P35" s="63"/>
      <c r="Q35" s="63"/>
      <c r="R35" s="63"/>
      <c r="S35" s="64" t="s">
        <v>198</v>
      </c>
      <c r="T35" s="64" t="s">
        <v>198</v>
      </c>
      <c r="U35" s="63"/>
      <c r="V35" s="63"/>
      <c r="W35" s="63"/>
      <c r="X35" s="63"/>
      <c r="Y35" s="63"/>
      <c r="Z35" s="63"/>
      <c r="AA35" s="63"/>
      <c r="AB35" s="63"/>
      <c r="AC35" s="63"/>
    </row>
    <row r="36">
      <c r="A36" s="60" t="s">
        <v>90</v>
      </c>
      <c r="B36" s="60" t="s">
        <v>212</v>
      </c>
      <c r="C36" s="60" t="s">
        <v>199</v>
      </c>
      <c r="D36" s="60" t="s">
        <v>71</v>
      </c>
      <c r="E36" s="60" t="s">
        <v>61</v>
      </c>
      <c r="F36" s="61">
        <v>60.0</v>
      </c>
      <c r="G36" s="61">
        <v>15.0</v>
      </c>
      <c r="H36" s="61">
        <v>4.0</v>
      </c>
      <c r="I36" s="62">
        <v>46133.0</v>
      </c>
      <c r="J36" s="62">
        <v>46143.0</v>
      </c>
      <c r="K36" s="62">
        <v>46133.0</v>
      </c>
      <c r="L36" s="62">
        <v>46143.0</v>
      </c>
      <c r="M36" s="60" t="s">
        <v>86</v>
      </c>
      <c r="N36" s="60" t="s">
        <v>197</v>
      </c>
      <c r="O36" s="63"/>
      <c r="P36" s="63"/>
      <c r="Q36" s="63"/>
      <c r="R36" s="63"/>
      <c r="S36" s="63"/>
      <c r="T36" s="64" t="s">
        <v>198</v>
      </c>
      <c r="U36" s="64" t="s">
        <v>198</v>
      </c>
      <c r="V36" s="63"/>
      <c r="W36" s="63"/>
      <c r="X36" s="63"/>
      <c r="Y36" s="63"/>
      <c r="Z36" s="63"/>
      <c r="AA36" s="63"/>
      <c r="AB36" s="63"/>
      <c r="AC36" s="63"/>
    </row>
    <row r="37">
      <c r="A37" s="60" t="s">
        <v>92</v>
      </c>
      <c r="B37" s="60" t="s">
        <v>93</v>
      </c>
      <c r="C37" s="60" t="s">
        <v>199</v>
      </c>
      <c r="D37" s="60" t="s">
        <v>74</v>
      </c>
      <c r="E37" s="60" t="s">
        <v>61</v>
      </c>
      <c r="F37" s="61">
        <v>60.0</v>
      </c>
      <c r="G37" s="61">
        <v>15.0</v>
      </c>
      <c r="H37" s="61">
        <v>4.0</v>
      </c>
      <c r="I37" s="62">
        <v>46133.0</v>
      </c>
      <c r="J37" s="62">
        <v>46143.0</v>
      </c>
      <c r="K37" s="62">
        <v>46133.0</v>
      </c>
      <c r="L37" s="62">
        <v>46143.0</v>
      </c>
      <c r="M37" s="60" t="s">
        <v>86</v>
      </c>
      <c r="N37" s="60" t="s">
        <v>197</v>
      </c>
      <c r="O37" s="63"/>
      <c r="P37" s="63"/>
      <c r="Q37" s="63"/>
      <c r="R37" s="63"/>
      <c r="S37" s="63"/>
      <c r="T37" s="64" t="s">
        <v>198</v>
      </c>
      <c r="U37" s="64" t="s">
        <v>198</v>
      </c>
      <c r="V37" s="63"/>
      <c r="W37" s="63"/>
      <c r="X37" s="63"/>
      <c r="Y37" s="63"/>
      <c r="Z37" s="63"/>
      <c r="AA37" s="63"/>
      <c r="AB37" s="63"/>
      <c r="AC37" s="63"/>
    </row>
    <row r="38">
      <c r="A38" s="60" t="s">
        <v>94</v>
      </c>
      <c r="B38" s="60" t="s">
        <v>213</v>
      </c>
      <c r="C38" s="60" t="s">
        <v>199</v>
      </c>
      <c r="D38" s="60" t="s">
        <v>68</v>
      </c>
      <c r="E38" s="60" t="s">
        <v>61</v>
      </c>
      <c r="F38" s="61">
        <v>60.0</v>
      </c>
      <c r="G38" s="61">
        <v>15.0</v>
      </c>
      <c r="H38" s="61">
        <v>4.0</v>
      </c>
      <c r="I38" s="62">
        <v>46143.0</v>
      </c>
      <c r="J38" s="62">
        <v>46148.0</v>
      </c>
      <c r="K38" s="62">
        <v>46143.0</v>
      </c>
      <c r="L38" s="62">
        <v>46148.0</v>
      </c>
      <c r="M38" s="60" t="s">
        <v>86</v>
      </c>
      <c r="N38" s="60" t="s">
        <v>197</v>
      </c>
      <c r="O38" s="63"/>
      <c r="P38" s="63"/>
      <c r="Q38" s="63"/>
      <c r="R38" s="63"/>
      <c r="S38" s="63"/>
      <c r="T38" s="63"/>
      <c r="U38" s="64" t="s">
        <v>198</v>
      </c>
      <c r="V38" s="64" t="s">
        <v>198</v>
      </c>
      <c r="W38" s="63"/>
      <c r="X38" s="63"/>
      <c r="Y38" s="63"/>
      <c r="Z38" s="63"/>
      <c r="AA38" s="63"/>
      <c r="AB38" s="63"/>
      <c r="AC38" s="63"/>
    </row>
    <row r="39">
      <c r="A39" s="60" t="s">
        <v>96</v>
      </c>
      <c r="B39" s="60" t="s">
        <v>214</v>
      </c>
      <c r="C39" s="60" t="s">
        <v>199</v>
      </c>
      <c r="D39" s="60" t="s">
        <v>68</v>
      </c>
      <c r="E39" s="60" t="s">
        <v>61</v>
      </c>
      <c r="F39" s="61">
        <v>60.0</v>
      </c>
      <c r="G39" s="61">
        <v>15.0</v>
      </c>
      <c r="H39" s="61">
        <v>4.0</v>
      </c>
      <c r="I39" s="62">
        <v>46148.0</v>
      </c>
      <c r="J39" s="62">
        <v>46154.0</v>
      </c>
      <c r="K39" s="62">
        <v>46148.0</v>
      </c>
      <c r="L39" s="62">
        <v>46154.0</v>
      </c>
      <c r="M39" s="60" t="s">
        <v>86</v>
      </c>
      <c r="N39" s="60" t="s">
        <v>197</v>
      </c>
      <c r="O39" s="63"/>
      <c r="P39" s="63"/>
      <c r="Q39" s="63"/>
      <c r="R39" s="63"/>
      <c r="S39" s="63"/>
      <c r="T39" s="63"/>
      <c r="U39" s="63"/>
      <c r="V39" s="64" t="s">
        <v>198</v>
      </c>
      <c r="W39" s="64" t="s">
        <v>198</v>
      </c>
      <c r="X39" s="63"/>
      <c r="Y39" s="63"/>
      <c r="Z39" s="63"/>
      <c r="AA39" s="63"/>
      <c r="AB39" s="63"/>
      <c r="AC39" s="63"/>
    </row>
    <row r="40">
      <c r="A40" s="66" t="s">
        <v>98</v>
      </c>
      <c r="B40" s="66" t="s">
        <v>99</v>
      </c>
      <c r="C40" s="66" t="s">
        <v>201</v>
      </c>
      <c r="D40" s="67"/>
      <c r="E40" s="66" t="s">
        <v>61</v>
      </c>
      <c r="F40" s="68">
        <v>0.0</v>
      </c>
      <c r="G40" s="68">
        <v>0.0</v>
      </c>
      <c r="H40" s="68">
        <v>0.0</v>
      </c>
      <c r="I40" s="69">
        <v>46148.0</v>
      </c>
      <c r="J40" s="69">
        <v>46148.0</v>
      </c>
      <c r="K40" s="69">
        <v>46148.0</v>
      </c>
      <c r="L40" s="69">
        <v>46148.0</v>
      </c>
      <c r="M40" s="66" t="s">
        <v>86</v>
      </c>
      <c r="N40" s="66" t="s">
        <v>203</v>
      </c>
      <c r="O40" s="67"/>
      <c r="P40" s="67"/>
      <c r="Q40" s="67"/>
      <c r="R40" s="67"/>
      <c r="S40" s="67"/>
      <c r="T40" s="67"/>
      <c r="U40" s="67"/>
      <c r="V40" s="70" t="s">
        <v>204</v>
      </c>
      <c r="W40" s="67"/>
      <c r="X40" s="67"/>
      <c r="Y40" s="67"/>
      <c r="Z40" s="67"/>
      <c r="AA40" s="67"/>
      <c r="AB40" s="67"/>
      <c r="AC40" s="67"/>
    </row>
    <row r="41">
      <c r="A41" s="60" t="s">
        <v>100</v>
      </c>
      <c r="B41" s="60" t="s">
        <v>101</v>
      </c>
      <c r="C41" s="60" t="s">
        <v>199</v>
      </c>
      <c r="D41" s="60" t="s">
        <v>102</v>
      </c>
      <c r="E41" s="60" t="s">
        <v>61</v>
      </c>
      <c r="F41" s="61">
        <v>346.0</v>
      </c>
      <c r="G41" s="61">
        <v>86.5</v>
      </c>
      <c r="H41" s="61">
        <v>22.0</v>
      </c>
      <c r="I41" s="62">
        <v>46127.0</v>
      </c>
      <c r="J41" s="71"/>
      <c r="K41" s="62">
        <v>46127.0</v>
      </c>
      <c r="L41" s="71"/>
      <c r="M41" s="60" t="s">
        <v>84</v>
      </c>
      <c r="N41" s="60" t="s">
        <v>197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</row>
    <row r="42">
      <c r="A42" s="60" t="s">
        <v>103</v>
      </c>
      <c r="B42" s="60" t="s">
        <v>215</v>
      </c>
      <c r="C42" s="60" t="s">
        <v>199</v>
      </c>
      <c r="D42" s="60" t="s">
        <v>102</v>
      </c>
      <c r="E42" s="60" t="s">
        <v>61</v>
      </c>
      <c r="F42" s="61">
        <v>58.0</v>
      </c>
      <c r="G42" s="61">
        <v>14.5</v>
      </c>
      <c r="H42" s="61">
        <v>4.0</v>
      </c>
      <c r="I42" s="62">
        <v>46127.0</v>
      </c>
      <c r="J42" s="62">
        <v>46133.0</v>
      </c>
      <c r="K42" s="62">
        <v>46127.0</v>
      </c>
      <c r="L42" s="62">
        <v>46133.0</v>
      </c>
      <c r="M42" s="60" t="s">
        <v>100</v>
      </c>
      <c r="N42" s="60" t="s">
        <v>197</v>
      </c>
      <c r="O42" s="63"/>
      <c r="P42" s="63"/>
      <c r="Q42" s="63"/>
      <c r="R42" s="63"/>
      <c r="S42" s="64" t="s">
        <v>198</v>
      </c>
      <c r="T42" s="64" t="s">
        <v>198</v>
      </c>
      <c r="U42" s="63"/>
      <c r="V42" s="63"/>
      <c r="W42" s="63"/>
      <c r="X42" s="63"/>
      <c r="Y42" s="63"/>
      <c r="Z42" s="63"/>
      <c r="AA42" s="63"/>
      <c r="AB42" s="63"/>
      <c r="AC42" s="63"/>
    </row>
    <row r="43">
      <c r="A43" s="60" t="s">
        <v>105</v>
      </c>
      <c r="B43" s="60" t="s">
        <v>106</v>
      </c>
      <c r="C43" s="60" t="s">
        <v>199</v>
      </c>
      <c r="D43" s="60" t="s">
        <v>102</v>
      </c>
      <c r="E43" s="60" t="s">
        <v>61</v>
      </c>
      <c r="F43" s="61">
        <v>58.0</v>
      </c>
      <c r="G43" s="61">
        <v>14.5</v>
      </c>
      <c r="H43" s="61">
        <v>4.0</v>
      </c>
      <c r="I43" s="62">
        <v>46133.0</v>
      </c>
      <c r="J43" s="62">
        <v>46143.0</v>
      </c>
      <c r="K43" s="62">
        <v>46133.0</v>
      </c>
      <c r="L43" s="62">
        <v>46143.0</v>
      </c>
      <c r="M43" s="60" t="s">
        <v>100</v>
      </c>
      <c r="N43" s="60" t="s">
        <v>197</v>
      </c>
      <c r="O43" s="63"/>
      <c r="P43" s="63"/>
      <c r="Q43" s="63"/>
      <c r="R43" s="63"/>
      <c r="S43" s="63"/>
      <c r="T43" s="64" t="s">
        <v>198</v>
      </c>
      <c r="U43" s="64" t="s">
        <v>198</v>
      </c>
      <c r="V43" s="63"/>
      <c r="W43" s="63"/>
      <c r="X43" s="63"/>
      <c r="Y43" s="63"/>
      <c r="Z43" s="63"/>
      <c r="AA43" s="63"/>
      <c r="AB43" s="63"/>
      <c r="AC43" s="63"/>
    </row>
    <row r="44">
      <c r="A44" s="60" t="s">
        <v>107</v>
      </c>
      <c r="B44" s="60" t="s">
        <v>216</v>
      </c>
      <c r="C44" s="60" t="s">
        <v>199</v>
      </c>
      <c r="D44" s="60" t="s">
        <v>102</v>
      </c>
      <c r="E44" s="60" t="s">
        <v>61</v>
      </c>
      <c r="F44" s="61">
        <v>58.0</v>
      </c>
      <c r="G44" s="61">
        <v>14.5</v>
      </c>
      <c r="H44" s="61">
        <v>4.0</v>
      </c>
      <c r="I44" s="62">
        <v>46143.0</v>
      </c>
      <c r="J44" s="62">
        <v>46148.0</v>
      </c>
      <c r="K44" s="62">
        <v>46143.0</v>
      </c>
      <c r="L44" s="62">
        <v>46148.0</v>
      </c>
      <c r="M44" s="60" t="s">
        <v>100</v>
      </c>
      <c r="N44" s="60" t="s">
        <v>197</v>
      </c>
      <c r="O44" s="63"/>
      <c r="P44" s="63"/>
      <c r="Q44" s="63"/>
      <c r="R44" s="63"/>
      <c r="S44" s="63"/>
      <c r="T44" s="63"/>
      <c r="U44" s="64" t="s">
        <v>198</v>
      </c>
      <c r="V44" s="64" t="s">
        <v>198</v>
      </c>
      <c r="W44" s="63"/>
      <c r="X44" s="63"/>
      <c r="Y44" s="63"/>
      <c r="Z44" s="63"/>
      <c r="AA44" s="63"/>
      <c r="AB44" s="63"/>
      <c r="AC44" s="63"/>
    </row>
    <row r="45">
      <c r="A45" s="60" t="s">
        <v>109</v>
      </c>
      <c r="B45" s="60" t="s">
        <v>110</v>
      </c>
      <c r="C45" s="60" t="s">
        <v>199</v>
      </c>
      <c r="D45" s="60" t="s">
        <v>102</v>
      </c>
      <c r="E45" s="60" t="s">
        <v>61</v>
      </c>
      <c r="F45" s="61">
        <v>58.0</v>
      </c>
      <c r="G45" s="61">
        <v>14.5</v>
      </c>
      <c r="H45" s="61">
        <v>4.0</v>
      </c>
      <c r="I45" s="62">
        <v>46148.0</v>
      </c>
      <c r="J45" s="62">
        <v>46154.0</v>
      </c>
      <c r="K45" s="62">
        <v>46148.0</v>
      </c>
      <c r="L45" s="62">
        <v>46154.0</v>
      </c>
      <c r="M45" s="60" t="s">
        <v>100</v>
      </c>
      <c r="N45" s="60" t="s">
        <v>197</v>
      </c>
      <c r="O45" s="63"/>
      <c r="P45" s="63"/>
      <c r="Q45" s="63"/>
      <c r="R45" s="63"/>
      <c r="S45" s="63"/>
      <c r="T45" s="63"/>
      <c r="U45" s="63"/>
      <c r="V45" s="64" t="s">
        <v>198</v>
      </c>
      <c r="W45" s="64" t="s">
        <v>198</v>
      </c>
      <c r="X45" s="63"/>
      <c r="Y45" s="63"/>
      <c r="Z45" s="63"/>
      <c r="AA45" s="63"/>
      <c r="AB45" s="63"/>
      <c r="AC45" s="63"/>
    </row>
    <row r="46">
      <c r="A46" s="60" t="s">
        <v>111</v>
      </c>
      <c r="B46" s="60" t="s">
        <v>112</v>
      </c>
      <c r="C46" s="60" t="s">
        <v>199</v>
      </c>
      <c r="D46" s="60" t="s">
        <v>102</v>
      </c>
      <c r="E46" s="60" t="s">
        <v>61</v>
      </c>
      <c r="F46" s="61">
        <v>56.0</v>
      </c>
      <c r="G46" s="61">
        <v>14.0</v>
      </c>
      <c r="H46" s="61">
        <v>4.0</v>
      </c>
      <c r="I46" s="62">
        <v>46154.0</v>
      </c>
      <c r="J46" s="62">
        <v>46157.0</v>
      </c>
      <c r="K46" s="62">
        <v>46154.0</v>
      </c>
      <c r="L46" s="62">
        <v>46157.0</v>
      </c>
      <c r="M46" s="60" t="s">
        <v>100</v>
      </c>
      <c r="N46" s="60" t="s">
        <v>197</v>
      </c>
      <c r="O46" s="63"/>
      <c r="P46" s="63"/>
      <c r="Q46" s="63"/>
      <c r="R46" s="63"/>
      <c r="S46" s="63"/>
      <c r="T46" s="63"/>
      <c r="U46" s="63"/>
      <c r="V46" s="63"/>
      <c r="W46" s="64" t="s">
        <v>198</v>
      </c>
      <c r="X46" s="63"/>
      <c r="Y46" s="63"/>
      <c r="Z46" s="63"/>
      <c r="AA46" s="63"/>
      <c r="AB46" s="63"/>
      <c r="AC46" s="63"/>
    </row>
    <row r="47">
      <c r="A47" s="60" t="s">
        <v>113</v>
      </c>
      <c r="B47" s="60" t="s">
        <v>217</v>
      </c>
      <c r="C47" s="60" t="s">
        <v>199</v>
      </c>
      <c r="D47" s="60" t="s">
        <v>102</v>
      </c>
      <c r="E47" s="60" t="s">
        <v>61</v>
      </c>
      <c r="F47" s="61">
        <v>58.0</v>
      </c>
      <c r="G47" s="61">
        <v>14.5</v>
      </c>
      <c r="H47" s="61">
        <v>4.0</v>
      </c>
      <c r="I47" s="62">
        <v>46160.0</v>
      </c>
      <c r="J47" s="62">
        <v>46163.0</v>
      </c>
      <c r="K47" s="62">
        <v>46160.0</v>
      </c>
      <c r="L47" s="62">
        <v>46163.0</v>
      </c>
      <c r="M47" s="60" t="s">
        <v>100</v>
      </c>
      <c r="N47" s="60" t="s">
        <v>197</v>
      </c>
      <c r="O47" s="63"/>
      <c r="P47" s="63"/>
      <c r="Q47" s="63"/>
      <c r="R47" s="63"/>
      <c r="S47" s="63"/>
      <c r="T47" s="63"/>
      <c r="U47" s="63"/>
      <c r="V47" s="63"/>
      <c r="W47" s="63"/>
      <c r="X47" s="64" t="s">
        <v>198</v>
      </c>
      <c r="Y47" s="63"/>
      <c r="Z47" s="63"/>
      <c r="AA47" s="63"/>
      <c r="AB47" s="63"/>
      <c r="AC47" s="63"/>
    </row>
    <row r="48">
      <c r="A48" s="60" t="s">
        <v>115</v>
      </c>
      <c r="B48" s="60" t="s">
        <v>116</v>
      </c>
      <c r="C48" s="60" t="s">
        <v>199</v>
      </c>
      <c r="D48" s="60" t="s">
        <v>20</v>
      </c>
      <c r="E48" s="60" t="s">
        <v>61</v>
      </c>
      <c r="F48" s="61">
        <v>20.0</v>
      </c>
      <c r="G48" s="61">
        <v>5.0</v>
      </c>
      <c r="H48" s="61">
        <v>1.0</v>
      </c>
      <c r="I48" s="62">
        <v>46164.0</v>
      </c>
      <c r="J48" s="62">
        <v>46164.0</v>
      </c>
      <c r="K48" s="62">
        <v>46164.0</v>
      </c>
      <c r="L48" s="62">
        <v>46164.0</v>
      </c>
      <c r="M48" s="60" t="s">
        <v>218</v>
      </c>
      <c r="N48" s="60" t="s">
        <v>197</v>
      </c>
      <c r="O48" s="63"/>
      <c r="P48" s="63"/>
      <c r="Q48" s="63"/>
      <c r="R48" s="63"/>
      <c r="S48" s="63"/>
      <c r="T48" s="63"/>
      <c r="U48" s="63"/>
      <c r="V48" s="63"/>
      <c r="W48" s="63"/>
      <c r="X48" s="64" t="s">
        <v>198</v>
      </c>
      <c r="Y48" s="63"/>
      <c r="Z48" s="63"/>
      <c r="AA48" s="63"/>
      <c r="AB48" s="63"/>
      <c r="AC48" s="63"/>
    </row>
    <row r="49">
      <c r="A49" s="60" t="s">
        <v>115</v>
      </c>
      <c r="B49" s="60" t="s">
        <v>117</v>
      </c>
      <c r="C49" s="60" t="s">
        <v>199</v>
      </c>
      <c r="D49" s="60" t="s">
        <v>65</v>
      </c>
      <c r="E49" s="60" t="s">
        <v>61</v>
      </c>
      <c r="F49" s="61">
        <v>78.0</v>
      </c>
      <c r="G49" s="61">
        <v>19.5</v>
      </c>
      <c r="H49" s="61">
        <v>5.0</v>
      </c>
      <c r="I49" s="62">
        <v>46164.0</v>
      </c>
      <c r="J49" s="62">
        <v>46164.0</v>
      </c>
      <c r="K49" s="62">
        <v>46164.0</v>
      </c>
      <c r="L49" s="62">
        <v>46164.0</v>
      </c>
      <c r="M49" s="60" t="s">
        <v>218</v>
      </c>
      <c r="N49" s="60" t="s">
        <v>197</v>
      </c>
      <c r="O49" s="63"/>
      <c r="P49" s="63"/>
      <c r="Q49" s="63"/>
      <c r="R49" s="63"/>
      <c r="S49" s="63"/>
      <c r="T49" s="63"/>
      <c r="U49" s="63"/>
      <c r="V49" s="63"/>
      <c r="W49" s="63"/>
      <c r="X49" s="64" t="s">
        <v>198</v>
      </c>
      <c r="Y49" s="63"/>
      <c r="Z49" s="63"/>
      <c r="AA49" s="63"/>
      <c r="AB49" s="63"/>
      <c r="AC49" s="63"/>
    </row>
    <row r="50">
      <c r="A50" s="60" t="s">
        <v>118</v>
      </c>
      <c r="B50" s="60" t="s">
        <v>119</v>
      </c>
      <c r="C50" s="60" t="s">
        <v>199</v>
      </c>
      <c r="D50" s="60" t="s">
        <v>65</v>
      </c>
      <c r="E50" s="60" t="s">
        <v>61</v>
      </c>
      <c r="F50" s="61">
        <v>24.0</v>
      </c>
      <c r="G50" s="61">
        <v>6.0</v>
      </c>
      <c r="H50" s="61">
        <v>2.0</v>
      </c>
      <c r="I50" s="62">
        <v>46164.0</v>
      </c>
      <c r="J50" s="62">
        <v>46168.0</v>
      </c>
      <c r="K50" s="62">
        <v>46164.0</v>
      </c>
      <c r="L50" s="62">
        <v>46168.0</v>
      </c>
      <c r="M50" s="60" t="s">
        <v>115</v>
      </c>
      <c r="N50" s="60" t="s">
        <v>197</v>
      </c>
      <c r="O50" s="63"/>
      <c r="P50" s="63"/>
      <c r="Q50" s="63"/>
      <c r="R50" s="63"/>
      <c r="S50" s="63"/>
      <c r="T50" s="63"/>
      <c r="U50" s="63"/>
      <c r="V50" s="63"/>
      <c r="W50" s="63"/>
      <c r="X50" s="64" t="s">
        <v>198</v>
      </c>
      <c r="Y50" s="64" t="s">
        <v>198</v>
      </c>
      <c r="Z50" s="63"/>
      <c r="AA50" s="63"/>
      <c r="AB50" s="63"/>
      <c r="AC50" s="63"/>
    </row>
    <row r="51">
      <c r="A51" s="60" t="s">
        <v>120</v>
      </c>
      <c r="B51" s="60" t="s">
        <v>121</v>
      </c>
      <c r="C51" s="60" t="s">
        <v>199</v>
      </c>
      <c r="D51" s="60" t="s">
        <v>65</v>
      </c>
      <c r="E51" s="60" t="s">
        <v>61</v>
      </c>
      <c r="F51" s="61">
        <v>24.0</v>
      </c>
      <c r="G51" s="61">
        <v>6.0</v>
      </c>
      <c r="H51" s="61">
        <v>2.0</v>
      </c>
      <c r="I51" s="62">
        <v>46168.0</v>
      </c>
      <c r="J51" s="62">
        <v>46171.0</v>
      </c>
      <c r="K51" s="62">
        <v>46168.0</v>
      </c>
      <c r="L51" s="62">
        <v>46171.0</v>
      </c>
      <c r="M51" s="60" t="s">
        <v>115</v>
      </c>
      <c r="N51" s="60" t="s">
        <v>197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4" t="s">
        <v>198</v>
      </c>
      <c r="Z51" s="63"/>
      <c r="AA51" s="63"/>
      <c r="AB51" s="63"/>
      <c r="AC51" s="63"/>
    </row>
    <row r="52">
      <c r="A52" s="60" t="s">
        <v>122</v>
      </c>
      <c r="B52" s="60" t="s">
        <v>123</v>
      </c>
      <c r="C52" s="60" t="s">
        <v>199</v>
      </c>
      <c r="D52" s="60" t="s">
        <v>65</v>
      </c>
      <c r="E52" s="60" t="s">
        <v>61</v>
      </c>
      <c r="F52" s="61">
        <v>30.0</v>
      </c>
      <c r="G52" s="61">
        <v>7.5</v>
      </c>
      <c r="H52" s="61">
        <v>2.0</v>
      </c>
      <c r="I52" s="62">
        <v>46174.0</v>
      </c>
      <c r="J52" s="62">
        <v>46177.0</v>
      </c>
      <c r="K52" s="62">
        <v>46174.0</v>
      </c>
      <c r="L52" s="62">
        <v>46177.0</v>
      </c>
      <c r="M52" s="60" t="s">
        <v>115</v>
      </c>
      <c r="N52" s="60" t="s">
        <v>197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4" t="s">
        <v>198</v>
      </c>
      <c r="AA52" s="63"/>
      <c r="AB52" s="63"/>
      <c r="AC52" s="63"/>
    </row>
    <row r="53">
      <c r="A53" s="66" t="s">
        <v>124</v>
      </c>
      <c r="B53" s="66" t="s">
        <v>125</v>
      </c>
      <c r="C53" s="66" t="s">
        <v>201</v>
      </c>
      <c r="D53" s="67"/>
      <c r="E53" s="66" t="s">
        <v>61</v>
      </c>
      <c r="F53" s="68">
        <v>0.0</v>
      </c>
      <c r="G53" s="68">
        <v>0.0</v>
      </c>
      <c r="H53" s="68">
        <v>0.0</v>
      </c>
      <c r="I53" s="69">
        <v>46177.0</v>
      </c>
      <c r="J53" s="69">
        <v>46177.0</v>
      </c>
      <c r="K53" s="69">
        <v>46177.0</v>
      </c>
      <c r="L53" s="69">
        <v>46177.0</v>
      </c>
      <c r="M53" s="66" t="s">
        <v>219</v>
      </c>
      <c r="N53" s="66" t="s">
        <v>203</v>
      </c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70" t="s">
        <v>204</v>
      </c>
      <c r="AA53" s="67"/>
      <c r="AB53" s="67"/>
      <c r="AC53" s="67"/>
    </row>
    <row r="54">
      <c r="A54" s="55" t="s">
        <v>126</v>
      </c>
      <c r="B54" s="55" t="s">
        <v>220</v>
      </c>
      <c r="C54" s="55" t="s">
        <v>1</v>
      </c>
      <c r="D54" s="56"/>
      <c r="E54" s="55" t="s">
        <v>127</v>
      </c>
      <c r="F54" s="57">
        <v>210.0</v>
      </c>
      <c r="G54" s="57">
        <v>52.5</v>
      </c>
      <c r="H54" s="57">
        <v>13.0</v>
      </c>
      <c r="I54" s="58">
        <v>46164.0</v>
      </c>
      <c r="J54" s="58">
        <v>46178.0</v>
      </c>
      <c r="K54" s="58">
        <v>46164.0</v>
      </c>
      <c r="L54" s="58">
        <v>46178.0</v>
      </c>
      <c r="M54" s="55" t="s">
        <v>124</v>
      </c>
      <c r="N54" s="55" t="s">
        <v>197</v>
      </c>
      <c r="O54" s="56"/>
      <c r="P54" s="56"/>
      <c r="Q54" s="56"/>
      <c r="R54" s="56"/>
      <c r="S54" s="56"/>
      <c r="T54" s="56"/>
      <c r="U54" s="56"/>
      <c r="V54" s="56"/>
      <c r="W54" s="56"/>
      <c r="X54" s="59" t="s">
        <v>198</v>
      </c>
      <c r="Y54" s="59" t="s">
        <v>198</v>
      </c>
      <c r="Z54" s="59" t="s">
        <v>198</v>
      </c>
      <c r="AA54" s="56"/>
      <c r="AB54" s="56"/>
      <c r="AC54" s="56"/>
    </row>
    <row r="55">
      <c r="A55" s="60" t="s">
        <v>128</v>
      </c>
      <c r="B55" s="60" t="s">
        <v>130</v>
      </c>
      <c r="C55" s="60" t="s">
        <v>199</v>
      </c>
      <c r="D55" s="60" t="s">
        <v>131</v>
      </c>
      <c r="E55" s="60" t="s">
        <v>127</v>
      </c>
      <c r="F55" s="61">
        <v>30.0</v>
      </c>
      <c r="G55" s="61">
        <v>7.5</v>
      </c>
      <c r="H55" s="61">
        <v>2.0</v>
      </c>
      <c r="I55" s="62">
        <v>46164.0</v>
      </c>
      <c r="J55" s="62">
        <v>46167.0</v>
      </c>
      <c r="K55" s="62">
        <v>46164.0</v>
      </c>
      <c r="L55" s="62">
        <v>46167.0</v>
      </c>
      <c r="M55" s="60" t="s">
        <v>124</v>
      </c>
      <c r="N55" s="60" t="s">
        <v>197</v>
      </c>
      <c r="O55" s="63"/>
      <c r="P55" s="63"/>
      <c r="Q55" s="63"/>
      <c r="R55" s="63"/>
      <c r="S55" s="63"/>
      <c r="T55" s="63"/>
      <c r="U55" s="63"/>
      <c r="V55" s="63"/>
      <c r="W55" s="63"/>
      <c r="X55" s="64" t="s">
        <v>198</v>
      </c>
      <c r="Y55" s="64" t="s">
        <v>198</v>
      </c>
      <c r="Z55" s="63"/>
      <c r="AA55" s="63"/>
      <c r="AB55" s="63"/>
      <c r="AC55" s="63"/>
    </row>
    <row r="56">
      <c r="A56" s="60" t="s">
        <v>132</v>
      </c>
      <c r="B56" s="60" t="s">
        <v>133</v>
      </c>
      <c r="C56" s="60" t="s">
        <v>199</v>
      </c>
      <c r="D56" s="60" t="s">
        <v>131</v>
      </c>
      <c r="E56" s="60" t="s">
        <v>127</v>
      </c>
      <c r="F56" s="61">
        <v>60.0</v>
      </c>
      <c r="G56" s="61">
        <v>15.0</v>
      </c>
      <c r="H56" s="61">
        <v>4.0</v>
      </c>
      <c r="I56" s="62">
        <v>46167.0</v>
      </c>
      <c r="J56" s="62">
        <v>46170.0</v>
      </c>
      <c r="K56" s="62">
        <v>46167.0</v>
      </c>
      <c r="L56" s="62">
        <v>46170.0</v>
      </c>
      <c r="M56" s="60" t="s">
        <v>128</v>
      </c>
      <c r="N56" s="60" t="s">
        <v>197</v>
      </c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4" t="s">
        <v>198</v>
      </c>
      <c r="Z56" s="63"/>
      <c r="AA56" s="63"/>
      <c r="AB56" s="63"/>
      <c r="AC56" s="63"/>
    </row>
    <row r="57">
      <c r="A57" s="60" t="s">
        <v>134</v>
      </c>
      <c r="B57" s="60" t="s">
        <v>135</v>
      </c>
      <c r="C57" s="60" t="s">
        <v>199</v>
      </c>
      <c r="D57" s="60" t="s">
        <v>131</v>
      </c>
      <c r="E57" s="60" t="s">
        <v>127</v>
      </c>
      <c r="F57" s="61">
        <v>30.0</v>
      </c>
      <c r="G57" s="61">
        <v>7.5</v>
      </c>
      <c r="H57" s="61">
        <v>2.0</v>
      </c>
      <c r="I57" s="62">
        <v>46171.0</v>
      </c>
      <c r="J57" s="62">
        <v>46174.0</v>
      </c>
      <c r="K57" s="62">
        <v>46171.0</v>
      </c>
      <c r="L57" s="62">
        <v>46174.0</v>
      </c>
      <c r="M57" s="60" t="s">
        <v>132</v>
      </c>
      <c r="N57" s="60" t="s">
        <v>197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4" t="s">
        <v>198</v>
      </c>
      <c r="Z57" s="64" t="s">
        <v>198</v>
      </c>
      <c r="AA57" s="63"/>
      <c r="AB57" s="63"/>
      <c r="AC57" s="63"/>
    </row>
    <row r="58">
      <c r="A58" s="60" t="s">
        <v>136</v>
      </c>
      <c r="B58" s="60" t="s">
        <v>137</v>
      </c>
      <c r="C58" s="60" t="s">
        <v>199</v>
      </c>
      <c r="D58" s="60" t="s">
        <v>131</v>
      </c>
      <c r="E58" s="60" t="s">
        <v>127</v>
      </c>
      <c r="F58" s="61">
        <v>30.0</v>
      </c>
      <c r="G58" s="61">
        <v>7.5</v>
      </c>
      <c r="H58" s="61">
        <v>2.0</v>
      </c>
      <c r="I58" s="62">
        <v>46174.0</v>
      </c>
      <c r="J58" s="62">
        <v>46175.0</v>
      </c>
      <c r="K58" s="62">
        <v>46174.0</v>
      </c>
      <c r="L58" s="62">
        <v>46175.0</v>
      </c>
      <c r="M58" s="60" t="s">
        <v>134</v>
      </c>
      <c r="N58" s="60" t="s">
        <v>197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4" t="s">
        <v>198</v>
      </c>
      <c r="AA58" s="63"/>
      <c r="AB58" s="63"/>
      <c r="AC58" s="63"/>
    </row>
    <row r="59">
      <c r="A59" s="60" t="s">
        <v>138</v>
      </c>
      <c r="B59" s="60" t="s">
        <v>139</v>
      </c>
      <c r="C59" s="60" t="s">
        <v>199</v>
      </c>
      <c r="D59" s="60" t="s">
        <v>131</v>
      </c>
      <c r="E59" s="60" t="s">
        <v>127</v>
      </c>
      <c r="F59" s="61">
        <v>30.0</v>
      </c>
      <c r="G59" s="61">
        <v>7.5</v>
      </c>
      <c r="H59" s="61">
        <v>2.0</v>
      </c>
      <c r="I59" s="62">
        <v>46176.0</v>
      </c>
      <c r="J59" s="62">
        <v>46177.0</v>
      </c>
      <c r="K59" s="62">
        <v>46176.0</v>
      </c>
      <c r="L59" s="62">
        <v>46177.0</v>
      </c>
      <c r="M59" s="60" t="s">
        <v>136</v>
      </c>
      <c r="N59" s="60" t="s">
        <v>197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4" t="s">
        <v>198</v>
      </c>
      <c r="AA59" s="63"/>
      <c r="AB59" s="63"/>
      <c r="AC59" s="63"/>
    </row>
    <row r="60">
      <c r="A60" s="60" t="s">
        <v>140</v>
      </c>
      <c r="B60" s="60" t="s">
        <v>141</v>
      </c>
      <c r="C60" s="60" t="s">
        <v>199</v>
      </c>
      <c r="D60" s="60" t="s">
        <v>131</v>
      </c>
      <c r="E60" s="60" t="s">
        <v>127</v>
      </c>
      <c r="F60" s="61">
        <v>30.0</v>
      </c>
      <c r="G60" s="61">
        <v>7.5</v>
      </c>
      <c r="H60" s="61">
        <v>2.0</v>
      </c>
      <c r="I60" s="62">
        <v>46177.0</v>
      </c>
      <c r="J60" s="62">
        <v>46178.0</v>
      </c>
      <c r="K60" s="62">
        <v>46177.0</v>
      </c>
      <c r="L60" s="62">
        <v>46178.0</v>
      </c>
      <c r="M60" s="60" t="s">
        <v>138</v>
      </c>
      <c r="N60" s="60" t="s">
        <v>197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4" t="s">
        <v>198</v>
      </c>
      <c r="AA60" s="63"/>
      <c r="AB60" s="63"/>
      <c r="AC60" s="63"/>
    </row>
    <row r="61">
      <c r="A61" s="66" t="s">
        <v>142</v>
      </c>
      <c r="B61" s="66" t="s">
        <v>143</v>
      </c>
      <c r="C61" s="66" t="s">
        <v>201</v>
      </c>
      <c r="D61" s="67"/>
      <c r="E61" s="66" t="s">
        <v>127</v>
      </c>
      <c r="F61" s="68">
        <v>0.0</v>
      </c>
      <c r="G61" s="68">
        <v>0.0</v>
      </c>
      <c r="H61" s="68">
        <v>0.0</v>
      </c>
      <c r="I61" s="69">
        <v>46178.0</v>
      </c>
      <c r="J61" s="69">
        <v>46178.0</v>
      </c>
      <c r="K61" s="69">
        <v>46178.0</v>
      </c>
      <c r="L61" s="69">
        <v>46178.0</v>
      </c>
      <c r="M61" s="66" t="s">
        <v>221</v>
      </c>
      <c r="N61" s="66" t="s">
        <v>203</v>
      </c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70" t="s">
        <v>204</v>
      </c>
      <c r="AA61" s="67"/>
      <c r="AB61" s="67"/>
      <c r="AC61" s="67"/>
    </row>
    <row r="62">
      <c r="A62" s="55" t="s">
        <v>144</v>
      </c>
      <c r="B62" s="55" t="s">
        <v>222</v>
      </c>
      <c r="C62" s="55" t="s">
        <v>1</v>
      </c>
      <c r="D62" s="56"/>
      <c r="E62" s="55" t="s">
        <v>145</v>
      </c>
      <c r="F62" s="57">
        <v>151.0</v>
      </c>
      <c r="G62" s="57">
        <v>37.75</v>
      </c>
      <c r="H62" s="57">
        <v>9.0</v>
      </c>
      <c r="I62" s="58">
        <v>46181.0</v>
      </c>
      <c r="J62" s="58">
        <v>46181.0</v>
      </c>
      <c r="K62" s="58">
        <v>46181.0</v>
      </c>
      <c r="L62" s="58">
        <v>46197.0</v>
      </c>
      <c r="M62" s="55" t="s">
        <v>142</v>
      </c>
      <c r="N62" s="55" t="s">
        <v>223</v>
      </c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9" t="s">
        <v>198</v>
      </c>
      <c r="AB62" s="59" t="s">
        <v>198</v>
      </c>
      <c r="AC62" s="72"/>
    </row>
    <row r="63">
      <c r="A63" s="60" t="s">
        <v>146</v>
      </c>
      <c r="B63" s="60" t="s">
        <v>147</v>
      </c>
      <c r="C63" s="60" t="s">
        <v>199</v>
      </c>
      <c r="D63" s="60" t="s">
        <v>20</v>
      </c>
      <c r="E63" s="60" t="s">
        <v>145</v>
      </c>
      <c r="F63" s="61">
        <v>61.0</v>
      </c>
      <c r="G63" s="61">
        <v>15.25</v>
      </c>
      <c r="H63" s="61">
        <v>4.0</v>
      </c>
      <c r="I63" s="62">
        <v>46181.0</v>
      </c>
      <c r="J63" s="62">
        <v>46183.0</v>
      </c>
      <c r="K63" s="62">
        <v>46181.0</v>
      </c>
      <c r="L63" s="62">
        <v>46183.0</v>
      </c>
      <c r="M63" s="60" t="s">
        <v>142</v>
      </c>
      <c r="N63" s="60" t="s">
        <v>197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4" t="s">
        <v>198</v>
      </c>
      <c r="AB63" s="63"/>
      <c r="AC63" s="63"/>
    </row>
    <row r="64">
      <c r="A64" s="60" t="s">
        <v>148</v>
      </c>
      <c r="B64" s="60" t="s">
        <v>149</v>
      </c>
      <c r="C64" s="60" t="s">
        <v>199</v>
      </c>
      <c r="D64" s="60" t="s">
        <v>20</v>
      </c>
      <c r="E64" s="60" t="s">
        <v>145</v>
      </c>
      <c r="F64" s="61">
        <v>60.0</v>
      </c>
      <c r="G64" s="61">
        <v>15.0</v>
      </c>
      <c r="H64" s="61">
        <v>4.0</v>
      </c>
      <c r="I64" s="62">
        <v>46183.0</v>
      </c>
      <c r="J64" s="62">
        <v>46184.0</v>
      </c>
      <c r="K64" s="62">
        <v>46183.0</v>
      </c>
      <c r="L64" s="62">
        <v>46184.0</v>
      </c>
      <c r="M64" s="60" t="s">
        <v>146</v>
      </c>
      <c r="N64" s="60" t="s">
        <v>197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4" t="s">
        <v>198</v>
      </c>
      <c r="AB64" s="63"/>
      <c r="AC64" s="63"/>
    </row>
    <row r="65">
      <c r="A65" s="60" t="s">
        <v>150</v>
      </c>
      <c r="B65" s="60" t="s">
        <v>151</v>
      </c>
      <c r="C65" s="60" t="s">
        <v>199</v>
      </c>
      <c r="D65" s="60" t="s">
        <v>20</v>
      </c>
      <c r="E65" s="60" t="s">
        <v>145</v>
      </c>
      <c r="F65" s="61">
        <v>30.0</v>
      </c>
      <c r="G65" s="61">
        <v>7.5</v>
      </c>
      <c r="H65" s="61">
        <v>2.0</v>
      </c>
      <c r="I65" s="62">
        <v>46185.0</v>
      </c>
      <c r="J65" s="62">
        <v>46188.0</v>
      </c>
      <c r="K65" s="62">
        <v>46185.0</v>
      </c>
      <c r="L65" s="62">
        <v>46197.0</v>
      </c>
      <c r="M65" s="60" t="s">
        <v>148</v>
      </c>
      <c r="N65" s="73" t="s">
        <v>197</v>
      </c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4" t="s">
        <v>198</v>
      </c>
      <c r="AB65" s="64" t="s">
        <v>198</v>
      </c>
      <c r="AC65" s="74"/>
    </row>
    <row r="66">
      <c r="A66" s="66" t="s">
        <v>152</v>
      </c>
      <c r="B66" s="66" t="s">
        <v>154</v>
      </c>
      <c r="C66" s="66" t="s">
        <v>201</v>
      </c>
      <c r="D66" s="67"/>
      <c r="E66" s="66" t="s">
        <v>145</v>
      </c>
      <c r="F66" s="68">
        <v>0.0</v>
      </c>
      <c r="G66" s="68">
        <v>0.0</v>
      </c>
      <c r="H66" s="68">
        <v>0.0</v>
      </c>
      <c r="I66" s="69">
        <v>46188.0</v>
      </c>
      <c r="J66" s="69">
        <v>46188.0</v>
      </c>
      <c r="K66" s="69">
        <v>46197.0</v>
      </c>
      <c r="L66" s="69">
        <v>46197.0</v>
      </c>
      <c r="M66" s="66" t="s">
        <v>224</v>
      </c>
      <c r="N66" s="75" t="s">
        <v>203</v>
      </c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70" t="s">
        <v>204</v>
      </c>
      <c r="AC66" s="76"/>
    </row>
    <row r="67">
      <c r="A67" s="77" t="s">
        <v>155</v>
      </c>
      <c r="B67" s="77" t="s">
        <v>225</v>
      </c>
      <c r="C67" s="78" t="s">
        <v>1</v>
      </c>
      <c r="D67" s="79"/>
      <c r="E67" s="77" t="s">
        <v>156</v>
      </c>
      <c r="F67" s="80">
        <v>10.0</v>
      </c>
      <c r="G67" s="80">
        <v>2.5</v>
      </c>
      <c r="H67" s="80">
        <v>1.0</v>
      </c>
      <c r="I67" s="81">
        <v>46189.0</v>
      </c>
      <c r="J67" s="81">
        <v>46189.0</v>
      </c>
      <c r="K67" s="82"/>
      <c r="L67" s="82"/>
      <c r="M67" s="79"/>
      <c r="N67" s="78" t="s">
        <v>197</v>
      </c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83"/>
      <c r="AC67" s="56"/>
    </row>
    <row r="68">
      <c r="A68" s="84" t="s">
        <v>157</v>
      </c>
      <c r="B68" s="84" t="s">
        <v>158</v>
      </c>
      <c r="C68" s="85" t="s">
        <v>199</v>
      </c>
      <c r="D68" s="84" t="s">
        <v>20</v>
      </c>
      <c r="E68" s="84" t="s">
        <v>156</v>
      </c>
      <c r="F68" s="86">
        <v>10.0</v>
      </c>
      <c r="G68" s="86">
        <v>2.5</v>
      </c>
      <c r="H68" s="86">
        <v>1.0</v>
      </c>
      <c r="I68" s="87">
        <v>46189.0</v>
      </c>
      <c r="J68" s="87">
        <v>46189.0</v>
      </c>
      <c r="K68" s="88"/>
      <c r="L68" s="88"/>
      <c r="M68" s="89"/>
      <c r="N68" s="85" t="s">
        <v>197</v>
      </c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1"/>
      <c r="AC68" s="90"/>
    </row>
    <row r="69">
      <c r="A69" s="77" t="s">
        <v>159</v>
      </c>
      <c r="B69" s="77" t="s">
        <v>226</v>
      </c>
      <c r="C69" s="78" t="s">
        <v>1</v>
      </c>
      <c r="D69" s="79"/>
      <c r="E69" s="77" t="s">
        <v>160</v>
      </c>
      <c r="F69" s="80">
        <v>10.0</v>
      </c>
      <c r="G69" s="80">
        <v>2.5</v>
      </c>
      <c r="H69" s="80">
        <v>1.0</v>
      </c>
      <c r="I69" s="81">
        <v>46190.0</v>
      </c>
      <c r="J69" s="81">
        <v>46190.0</v>
      </c>
      <c r="K69" s="82"/>
      <c r="L69" s="82"/>
      <c r="M69" s="79"/>
      <c r="N69" s="78" t="s">
        <v>197</v>
      </c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83"/>
      <c r="AC69" s="56"/>
    </row>
    <row r="70">
      <c r="A70" s="84" t="s">
        <v>161</v>
      </c>
      <c r="B70" s="84" t="s">
        <v>162</v>
      </c>
      <c r="C70" s="85" t="s">
        <v>199</v>
      </c>
      <c r="D70" s="84" t="s">
        <v>20</v>
      </c>
      <c r="E70" s="84" t="s">
        <v>160</v>
      </c>
      <c r="F70" s="86">
        <v>10.0</v>
      </c>
      <c r="G70" s="86">
        <v>2.5</v>
      </c>
      <c r="H70" s="86">
        <v>1.0</v>
      </c>
      <c r="I70" s="87">
        <v>46190.0</v>
      </c>
      <c r="J70" s="87">
        <v>46190.0</v>
      </c>
      <c r="K70" s="88"/>
      <c r="L70" s="88"/>
      <c r="M70" s="89"/>
      <c r="N70" s="85" t="s">
        <v>197</v>
      </c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1"/>
      <c r="AC70" s="90"/>
    </row>
    <row r="71">
      <c r="A71" s="92">
        <v>46061.0</v>
      </c>
      <c r="B71" s="93" t="s">
        <v>227</v>
      </c>
      <c r="C71" s="94" t="s">
        <v>201</v>
      </c>
      <c r="D71" s="95"/>
      <c r="E71" s="93" t="s">
        <v>160</v>
      </c>
      <c r="F71" s="68">
        <v>0.0</v>
      </c>
      <c r="G71" s="68">
        <v>0.0</v>
      </c>
      <c r="H71" s="68">
        <v>0.0</v>
      </c>
      <c r="I71" s="96">
        <v>46190.0</v>
      </c>
      <c r="J71" s="96">
        <v>46190.0</v>
      </c>
      <c r="K71" s="95"/>
      <c r="L71" s="95"/>
      <c r="M71" s="95"/>
      <c r="N71" s="94" t="s">
        <v>228</v>
      </c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70" t="s">
        <v>204</v>
      </c>
      <c r="AC71" s="95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</row>
    <row r="73">
      <c r="A73" s="98" t="s">
        <v>229</v>
      </c>
    </row>
    <row r="74">
      <c r="A74" s="99" t="s">
        <v>230</v>
      </c>
      <c r="B74" s="100">
        <v>46097.0</v>
      </c>
      <c r="C74" s="97"/>
      <c r="D74" s="97"/>
      <c r="E74" s="101" t="s">
        <v>231</v>
      </c>
      <c r="F74" s="102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</row>
    <row r="75">
      <c r="A75" s="99" t="s">
        <v>232</v>
      </c>
      <c r="B75" s="100">
        <v>46197.0</v>
      </c>
      <c r="C75" s="97"/>
      <c r="D75" s="97"/>
      <c r="E75" s="103" t="s">
        <v>198</v>
      </c>
      <c r="F75" s="97" t="s">
        <v>199</v>
      </c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</row>
    <row r="76">
      <c r="A76" s="99" t="s">
        <v>233</v>
      </c>
      <c r="B76" s="104">
        <v>14.4</v>
      </c>
      <c r="C76" s="97"/>
      <c r="D76" s="97"/>
      <c r="E76" s="105" t="s">
        <v>198</v>
      </c>
      <c r="F76" s="97" t="s">
        <v>234</v>
      </c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</row>
    <row r="77">
      <c r="A77" s="99" t="s">
        <v>235</v>
      </c>
      <c r="B77" s="104">
        <v>1507.0</v>
      </c>
      <c r="C77" s="97"/>
      <c r="D77" s="97"/>
      <c r="E77" s="106" t="s">
        <v>204</v>
      </c>
      <c r="F77" s="97" t="s">
        <v>201</v>
      </c>
      <c r="G77" s="97"/>
      <c r="H77" s="107">
        <v>46155.0</v>
      </c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</row>
    <row r="78">
      <c r="A78" s="99" t="s">
        <v>236</v>
      </c>
      <c r="B78" s="104">
        <v>376.75</v>
      </c>
      <c r="C78" s="97"/>
      <c r="D78" s="97"/>
      <c r="E78" s="108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</row>
    <row r="79">
      <c r="A79" s="99" t="s">
        <v>237</v>
      </c>
      <c r="B79" s="104">
        <v>8.0</v>
      </c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</row>
    <row r="80">
      <c r="A80" s="99" t="s">
        <v>238</v>
      </c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</row>
    <row r="81">
      <c r="A81" s="99" t="s">
        <v>239</v>
      </c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</row>
  </sheetData>
  <mergeCells count="3">
    <mergeCell ref="A1:AC1"/>
    <mergeCell ref="A2:AC2"/>
    <mergeCell ref="A73:AC7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9" t="s">
        <v>168</v>
      </c>
      <c r="B1" s="109" t="s">
        <v>201</v>
      </c>
      <c r="C1" s="109" t="s">
        <v>240</v>
      </c>
      <c r="D1" s="109" t="s">
        <v>241</v>
      </c>
      <c r="E1" s="109" t="s">
        <v>242</v>
      </c>
      <c r="F1" s="109" t="s">
        <v>180</v>
      </c>
      <c r="G1" s="97"/>
    </row>
    <row r="2">
      <c r="A2" s="110" t="s">
        <v>26</v>
      </c>
      <c r="B2" s="110" t="s">
        <v>28</v>
      </c>
      <c r="C2" s="100">
        <v>46097.0</v>
      </c>
      <c r="D2" s="100">
        <v>46097.0</v>
      </c>
      <c r="E2" s="110" t="s">
        <v>202</v>
      </c>
      <c r="F2" s="110" t="s">
        <v>203</v>
      </c>
      <c r="G2" s="97"/>
    </row>
    <row r="3">
      <c r="A3" s="110" t="s">
        <v>35</v>
      </c>
      <c r="B3" s="110" t="s">
        <v>36</v>
      </c>
      <c r="C3" s="100">
        <v>46098.0</v>
      </c>
      <c r="D3" s="100">
        <v>46098.0</v>
      </c>
      <c r="E3" s="110" t="s">
        <v>207</v>
      </c>
      <c r="F3" s="110" t="s">
        <v>203</v>
      </c>
      <c r="G3" s="97"/>
    </row>
    <row r="4">
      <c r="A4" s="110" t="s">
        <v>58</v>
      </c>
      <c r="B4" s="110" t="s">
        <v>59</v>
      </c>
      <c r="C4" s="100">
        <v>46106.0</v>
      </c>
      <c r="D4" s="100">
        <v>46106.0</v>
      </c>
      <c r="E4" s="110" t="s">
        <v>52</v>
      </c>
      <c r="F4" s="110" t="s">
        <v>203</v>
      </c>
      <c r="G4" s="97"/>
    </row>
    <row r="5">
      <c r="A5" s="110" t="s">
        <v>84</v>
      </c>
      <c r="B5" s="110" t="s">
        <v>85</v>
      </c>
      <c r="C5" s="100">
        <v>46126.0</v>
      </c>
      <c r="D5" s="100">
        <v>46126.0</v>
      </c>
      <c r="E5" s="110" t="s">
        <v>211</v>
      </c>
      <c r="F5" s="110" t="s">
        <v>203</v>
      </c>
      <c r="G5" s="97"/>
    </row>
    <row r="6">
      <c r="A6" s="110" t="s">
        <v>98</v>
      </c>
      <c r="B6" s="110" t="s">
        <v>99</v>
      </c>
      <c r="C6" s="100">
        <v>46148.0</v>
      </c>
      <c r="D6" s="100">
        <v>46148.0</v>
      </c>
      <c r="E6" s="110" t="s">
        <v>86</v>
      </c>
      <c r="F6" s="110" t="s">
        <v>203</v>
      </c>
      <c r="G6" s="97"/>
    </row>
    <row r="7">
      <c r="A7" s="110" t="s">
        <v>124</v>
      </c>
      <c r="B7" s="110" t="s">
        <v>125</v>
      </c>
      <c r="C7" s="100">
        <v>46177.0</v>
      </c>
      <c r="D7" s="100">
        <v>46177.0</v>
      </c>
      <c r="E7" s="110" t="s">
        <v>219</v>
      </c>
      <c r="F7" s="110" t="s">
        <v>203</v>
      </c>
      <c r="G7" s="97"/>
    </row>
    <row r="8">
      <c r="A8" s="110" t="s">
        <v>142</v>
      </c>
      <c r="B8" s="110" t="s">
        <v>143</v>
      </c>
      <c r="C8" s="100">
        <v>46178.0</v>
      </c>
      <c r="D8" s="100">
        <v>46178.0</v>
      </c>
      <c r="E8" s="110" t="s">
        <v>221</v>
      </c>
      <c r="F8" s="110" t="s">
        <v>203</v>
      </c>
      <c r="G8" s="97"/>
    </row>
    <row r="9">
      <c r="A9" s="110" t="s">
        <v>152</v>
      </c>
      <c r="B9" s="110" t="s">
        <v>154</v>
      </c>
      <c r="C9" s="100">
        <v>46188.0</v>
      </c>
      <c r="D9" s="111">
        <v>46188.0</v>
      </c>
      <c r="E9" s="110" t="s">
        <v>224</v>
      </c>
      <c r="F9" s="112" t="s">
        <v>203</v>
      </c>
      <c r="G9" s="97"/>
    </row>
    <row r="10">
      <c r="A10" s="113">
        <v>46061.0</v>
      </c>
      <c r="B10" s="112" t="s">
        <v>243</v>
      </c>
      <c r="C10" s="111">
        <v>46190.0</v>
      </c>
      <c r="D10" s="111">
        <v>46190.0</v>
      </c>
      <c r="E10" s="112" t="s">
        <v>244</v>
      </c>
      <c r="F10" s="112" t="s">
        <v>245</v>
      </c>
      <c r="G10" s="97"/>
    </row>
    <row r="11">
      <c r="A11" s="97"/>
      <c r="B11" s="97"/>
      <c r="C11" s="97"/>
      <c r="D11" s="97"/>
      <c r="E11" s="97"/>
      <c r="F11" s="97"/>
      <c r="G11" s="97"/>
    </row>
    <row r="12">
      <c r="A12" s="97"/>
      <c r="B12" s="97"/>
      <c r="C12" s="97"/>
      <c r="D12" s="97"/>
      <c r="E12" s="97"/>
      <c r="F12" s="97"/>
      <c r="G12" s="97"/>
    </row>
    <row r="13">
      <c r="A13" s="97"/>
      <c r="B13" s="97"/>
      <c r="C13" s="97"/>
      <c r="D13" s="97"/>
      <c r="E13" s="97"/>
      <c r="F13" s="97"/>
      <c r="G13" s="9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miguel andres flores hidalgo</dc:creator>
</cp:coreProperties>
</file>